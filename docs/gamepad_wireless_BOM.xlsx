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部品表" sheetId="1" state="visible" r:id="rId1"/>
    <sheet xmlns:r="http://schemas.openxmlformats.org/officeDocument/2006/relationships" name="配線" sheetId="2" state="visible" r:id="rId2"/>
  </sheets>
  <definedNames>
    <definedName name="_xlnm._FilterDatabase" localSheetId="0" hidden="1">'部品表'!$A$4:$J$26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;\-#,##0;\-"/>
  </numFmts>
  <fonts count="1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Noto Sans CJK SC"/>
      <family val="2"/>
      <b val="1"/>
      <sz val="14"/>
    </font>
    <font>
      <name val="Noto Sans CJK SC"/>
      <family val="2"/>
      <i val="1"/>
      <sz val="9"/>
    </font>
    <font>
      <name val="Arial"/>
      <charset val="1"/>
      <family val="0"/>
      <i val="1"/>
      <sz val="9"/>
    </font>
    <font>
      <name val="Noto Sans CJK SC"/>
      <family val="2"/>
      <b val="1"/>
      <sz val="11"/>
    </font>
    <font>
      <name val="Arial"/>
      <charset val="1"/>
      <family val="0"/>
      <b val="1"/>
      <sz val="11"/>
    </font>
    <font>
      <name val="Noto Sans CJK SC"/>
      <family val="2"/>
      <sz val="11"/>
    </font>
    <font>
      <name val="Arial"/>
      <charset val="1"/>
      <family val="0"/>
      <sz val="11"/>
    </font>
    <font>
      <name val="Arial"/>
      <charset val="1"/>
      <family val="0"/>
      <color rgb="FF0000FF"/>
      <sz val="11"/>
    </font>
    <font>
      <name val="Noto Sans CJK SC"/>
      <family val="2"/>
      <sz val="9"/>
    </font>
    <font>
      <name val="Arial"/>
      <charset val="1"/>
      <family val="0"/>
      <sz val="9"/>
    </font>
    <font>
      <name val="Noto Sans CJK SC"/>
      <family val="2"/>
      <b val="1"/>
      <sz val="9"/>
    </font>
  </fonts>
  <fills count="3">
    <fill>
      <patternFill/>
    </fill>
    <fill>
      <patternFill patternType="gray125"/>
    </fill>
    <fill>
      <patternFill patternType="solid">
        <fgColor rgb="FFDDEBF7"/>
        <bgColor rgb="FFCCFFFF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general" vertical="center" wrapText="1"/>
    </xf>
    <xf numFmtId="0" fontId="11" fillId="0" borderId="1" applyAlignment="1" pivotButton="0" quotePrefix="0" xfId="0">
      <alignment horizontal="general" vertical="center" wrapText="1"/>
    </xf>
    <xf numFmtId="0" fontId="12" fillId="0" borderId="1" applyAlignment="1" pivotButton="0" quotePrefix="0" xfId="0">
      <alignment horizontal="general" vertical="center" wrapText="1"/>
    </xf>
    <xf numFmtId="164" fontId="12" fillId="0" borderId="1" applyAlignment="1" pivotButton="0" quotePrefix="0" xfId="0">
      <alignment horizontal="general" vertical="center" wrapText="1"/>
    </xf>
    <xf numFmtId="164" fontId="11" fillId="0" borderId="1" applyAlignment="1" pivotButton="0" quotePrefix="0" xfId="0">
      <alignment horizontal="general" vertical="center" wrapText="1"/>
    </xf>
    <xf numFmtId="0" fontId="13" fillId="0" borderId="1" applyAlignment="1" pivotButton="0" quotePrefix="0" xfId="0">
      <alignment horizontal="general" vertical="center" wrapText="1"/>
    </xf>
    <xf numFmtId="0" fontId="14" fillId="0" borderId="1" applyAlignment="1" pivotButton="0" quotePrefix="0" xfId="0">
      <alignment horizontal="general" vertical="center" wrapText="1"/>
    </xf>
    <xf numFmtId="164" fontId="8" fillId="0" borderId="0" applyAlignment="1" pivotButton="0" quotePrefix="0" xfId="0">
      <alignment horizontal="right" vertical="bottom"/>
    </xf>
    <xf numFmtId="164" fontId="9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general" vertical="bottom"/>
    </xf>
    <xf numFmtId="0" fontId="9" fillId="2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general" vertical="center" wrapText="1"/>
    </xf>
    <xf numFmtId="0" fontId="11" fillId="0" borderId="1" applyAlignment="1" pivotButton="0" quotePrefix="0" xfId="0">
      <alignment horizontal="general" vertical="center" wrapText="1"/>
    </xf>
    <xf numFmtId="0" fontId="12" fillId="0" borderId="1" applyAlignment="1" pivotButton="0" quotePrefix="0" xfId="0">
      <alignment horizontal="general" vertical="center" wrapText="1"/>
    </xf>
    <xf numFmtId="164" fontId="12" fillId="0" borderId="1" applyAlignment="1" pivotButton="0" quotePrefix="0" xfId="0">
      <alignment horizontal="general" vertical="center" wrapText="1"/>
    </xf>
    <xf numFmtId="164" fontId="11" fillId="0" borderId="1" applyAlignment="1" pivotButton="0" quotePrefix="0" xfId="0">
      <alignment horizontal="general" vertical="center" wrapText="1"/>
    </xf>
    <xf numFmtId="0" fontId="13" fillId="0" borderId="1" applyAlignment="1" pivotButton="0" quotePrefix="0" xfId="0">
      <alignment horizontal="general" vertical="center" wrapText="1"/>
    </xf>
    <xf numFmtId="0" fontId="14" fillId="0" borderId="1" applyAlignment="1" pivotButton="0" quotePrefix="0" xfId="0">
      <alignment horizontal="general" vertical="center" wrapText="1"/>
    </xf>
    <xf numFmtId="164" fontId="8" fillId="0" borderId="0" applyAlignment="1" pivotButton="0" quotePrefix="0" xfId="0">
      <alignment horizontal="right" vertical="bottom"/>
    </xf>
    <xf numFmtId="164" fontId="9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general" vertical="bottom"/>
    </xf>
    <xf numFmtId="0" fontId="9" fillId="2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ill>
        <patternFill patternType="solid">
          <fgColor rgb="FFDDEBF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4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19" min="1" max="1"/>
    <col width="34" customWidth="1" style="19" min="2" max="2"/>
    <col width="18" customWidth="1" style="19" min="3" max="3"/>
    <col width="14" customWidth="1" style="19" min="4" max="4"/>
    <col width="10" customWidth="1" style="19" min="5" max="5"/>
    <col width="7" customWidth="1" style="19" min="6" max="6"/>
    <col width="14" customWidth="1" style="19" min="7" max="7"/>
    <col width="11" customWidth="1" style="19" min="8" max="8"/>
    <col width="24" customWidth="1" style="19" min="9" max="9"/>
    <col width="44" customWidth="1" style="19" min="10" max="10"/>
  </cols>
  <sheetData>
    <row r="1" ht="21.6" customHeight="1" s="20">
      <c r="A1" s="21" t="inlineStr">
        <is>
          <t>USBゲームパッド無線化（IM920sL × XIAO RP2040）部品表</t>
        </is>
      </c>
    </row>
    <row r="2" ht="15" customHeight="1" s="20">
      <c r="A2" s="22" t="inlineStr">
        <is>
          <t>青字＝編集可能な入力（数量・単価）。単価はマルツ発注時に最新価格へ更新してください。必須/任意列でフィルタできます。</t>
        </is>
      </c>
    </row>
    <row r="4" ht="48.5" customHeight="1" s="20">
      <c r="A4" s="23" t="inlineStr">
        <is>
          <t>区分</t>
        </is>
      </c>
      <c r="B4" s="23" t="inlineStr">
        <is>
          <t>品名</t>
        </is>
      </c>
      <c r="C4" s="23" t="inlineStr">
        <is>
          <t>型番</t>
        </is>
      </c>
      <c r="D4" s="23" t="inlineStr">
        <is>
          <t>マルツ商品番号</t>
        </is>
      </c>
      <c r="E4" s="23" t="inlineStr">
        <is>
          <t>必須/任意</t>
        </is>
      </c>
      <c r="F4" s="23" t="inlineStr">
        <is>
          <t>数量</t>
        </is>
      </c>
      <c r="G4" s="23" t="inlineStr">
        <is>
          <t>単価(円・税込・参考)</t>
        </is>
      </c>
      <c r="H4" s="23" t="inlineStr">
        <is>
          <t>小計(円)</t>
        </is>
      </c>
      <c r="I4" s="23" t="inlineStr">
        <is>
          <t>価格の根拠</t>
        </is>
      </c>
      <c r="J4" s="23" t="inlineStr">
        <is>
          <t>備考</t>
        </is>
      </c>
    </row>
    <row r="5" ht="26.85" customHeight="1" s="20">
      <c r="A5" s="24" t="inlineStr">
        <is>
          <t>送信側</t>
        </is>
      </c>
      <c r="B5" s="25" t="inlineStr">
        <is>
          <t>Seeed XIAO RP2040</t>
        </is>
      </c>
      <c r="C5" s="25" t="inlineStr">
        <is>
          <t>102010428</t>
        </is>
      </c>
      <c r="D5" s="25" t="inlineStr">
        <is>
          <t>2229736</t>
        </is>
      </c>
      <c r="E5" s="24" t="inlineStr">
        <is>
          <t>必須</t>
        </is>
      </c>
      <c r="F5" s="26" t="n">
        <v>1</v>
      </c>
      <c r="G5" s="27" t="n">
        <v>980</v>
      </c>
      <c r="H5" s="28">
        <f>F5*G5</f>
        <v/>
      </c>
      <c r="I5" s="29" t="inlineStr">
        <is>
          <t>秋月電子 税込価格(参考)</t>
        </is>
      </c>
      <c r="J5" s="30" t="inlineStr">
        <is>
          <t>PIO-USBでUSBホスト（D+=GPIO26/D−=GPIO27）、UARTはGPIO0/1。CPUは240MHz</t>
        </is>
      </c>
    </row>
    <row r="6" ht="32.8" customHeight="1" s="20">
      <c r="A6" s="24" t="inlineStr">
        <is>
          <t>送信側</t>
        </is>
      </c>
      <c r="B6" s="25" t="inlineStr">
        <is>
          <t>920MHz無線モジュール（ワイヤーアンテナ）</t>
        </is>
      </c>
      <c r="C6" s="25" t="inlineStr">
        <is>
          <t>IM920SL</t>
        </is>
      </c>
      <c r="D6" s="25" t="inlineStr">
        <is>
          <t>2218859</t>
        </is>
      </c>
      <c r="E6" s="24" t="inlineStr">
        <is>
          <t>必須</t>
        </is>
      </c>
      <c r="F6" s="26" t="n">
        <v>1</v>
      </c>
      <c r="G6" s="27" t="n">
        <v>4750</v>
      </c>
      <c r="H6" s="28">
        <f>F6*G6</f>
        <v/>
      </c>
      <c r="I6" s="29" t="inlineStr">
        <is>
          <t>マルツ定価(2023年キャンペーン告知)</t>
        </is>
      </c>
      <c r="J6" s="30" t="inlineStr">
        <is>
          <t>DC2.1〜3.5V、送信時27mA typ.（XIAOの3V3から供給可）。変換アダプタ経由で接続</t>
        </is>
      </c>
    </row>
    <row r="7" ht="32.8" customHeight="1" s="20">
      <c r="A7" s="24" t="inlineStr">
        <is>
          <t>送信側</t>
        </is>
      </c>
      <c r="B7" s="25" t="inlineStr">
        <is>
          <t>USB Type-A メスコネクタ DIP化基板</t>
        </is>
      </c>
      <c r="C7" s="25" t="inlineStr">
        <is>
          <t>AE-USB-A-DIP 相当</t>
        </is>
      </c>
      <c r="D7" s="24" t="inlineStr">
        <is>
          <t>要検索</t>
        </is>
      </c>
      <c r="E7" s="24" t="inlineStr">
        <is>
          <t>必須</t>
        </is>
      </c>
      <c r="F7" s="26" t="n">
        <v>1</v>
      </c>
      <c r="G7" s="27" t="n">
        <v>140</v>
      </c>
      <c r="H7" s="28">
        <f>F7*G7</f>
        <v/>
      </c>
      <c r="I7" s="29" t="inlineStr">
        <is>
          <t>秋月電子 税込価格(参考)</t>
        </is>
      </c>
      <c r="J7" s="29" t="inlineStr">
        <is>
          <t>ゲームパッド接続用。VBUSはXIAOの5Vピンから</t>
        </is>
      </c>
    </row>
    <row r="8" ht="17.15" customHeight="1" s="20">
      <c r="A8" s="24" t="inlineStr">
        <is>
          <t>送信側</t>
        </is>
      </c>
      <c r="B8" s="24" t="inlineStr">
        <is>
          <t>電解コンデンサ 47µF 10V（C1）</t>
        </is>
      </c>
      <c r="C8" s="25" t="inlineStr">
        <is>
          <t>—</t>
        </is>
      </c>
      <c r="D8" s="24" t="inlineStr">
        <is>
          <t>要検索</t>
        </is>
      </c>
      <c r="E8" s="24" t="inlineStr">
        <is>
          <t>必須</t>
        </is>
      </c>
      <c r="F8" s="26" t="n">
        <v>1</v>
      </c>
      <c r="G8" s="27" t="n">
        <v>20</v>
      </c>
      <c r="H8" s="28">
        <f>F8*G8</f>
        <v/>
      </c>
      <c r="I8" s="29" t="inlineStr">
        <is>
          <t>概算</t>
        </is>
      </c>
      <c r="J8" s="30" t="inlineStr">
        <is>
          <t>+5V（ゲームパッド給電）の突入電流対策</t>
        </is>
      </c>
    </row>
    <row r="9" ht="17.15" customHeight="1" s="20">
      <c r="A9" s="24" t="inlineStr">
        <is>
          <t>送信側</t>
        </is>
      </c>
      <c r="B9" s="24" t="inlineStr">
        <is>
          <t>抵抗 22Ω 1/4W</t>
        </is>
      </c>
      <c r="C9" s="25" t="inlineStr">
        <is>
          <t>—</t>
        </is>
      </c>
      <c r="D9" s="24" t="inlineStr">
        <is>
          <t>要検索</t>
        </is>
      </c>
      <c r="E9" s="24" t="inlineStr">
        <is>
          <t>必須</t>
        </is>
      </c>
      <c r="F9" s="26" t="n">
        <v>2</v>
      </c>
      <c r="G9" s="27" t="n">
        <v>10</v>
      </c>
      <c r="H9" s="28">
        <f>F9*G9</f>
        <v/>
      </c>
      <c r="I9" s="29" t="inlineStr">
        <is>
          <t>概算</t>
        </is>
      </c>
      <c r="J9" s="30" t="inlineStr">
        <is>
          <t>D+/D−の直列抵抗。PIO-USBはタイミング余裕が少ないので実装を推奨</t>
        </is>
      </c>
    </row>
    <row r="10" ht="17.15" customHeight="1" s="20">
      <c r="A10" s="24" t="inlineStr">
        <is>
          <t>送信側</t>
        </is>
      </c>
      <c r="B10" s="24" t="inlineStr">
        <is>
          <t>ユニバーサル基板（小型）</t>
        </is>
      </c>
      <c r="C10" s="25" t="inlineStr">
        <is>
          <t>—</t>
        </is>
      </c>
      <c r="D10" s="24" t="inlineStr">
        <is>
          <t>要検索</t>
        </is>
      </c>
      <c r="E10" s="24" t="inlineStr">
        <is>
          <t>必須</t>
        </is>
      </c>
      <c r="F10" s="26" t="n">
        <v>1</v>
      </c>
      <c r="G10" s="27" t="n">
        <v>150</v>
      </c>
      <c r="H10" s="28">
        <f>F10*G10</f>
        <v/>
      </c>
      <c r="I10" s="29" t="inlineStr">
        <is>
          <t>概算</t>
        </is>
      </c>
      <c r="J10" s="29" t="n"/>
    </row>
    <row r="11" ht="17.15" customHeight="1" s="20">
      <c r="A11" s="24" t="inlineStr">
        <is>
          <t>送信側</t>
        </is>
      </c>
      <c r="B11" s="24" t="inlineStr">
        <is>
          <t>ピンヘッダ／ピンソケット 2.54mm</t>
        </is>
      </c>
      <c r="C11" s="25" t="inlineStr">
        <is>
          <t>—</t>
        </is>
      </c>
      <c r="D11" s="24" t="inlineStr">
        <is>
          <t>要検索</t>
        </is>
      </c>
      <c r="E11" s="24" t="inlineStr">
        <is>
          <t>必須</t>
        </is>
      </c>
      <c r="F11" s="26" t="n">
        <v>1</v>
      </c>
      <c r="G11" s="27" t="n">
        <v>100</v>
      </c>
      <c r="H11" s="28">
        <f>F11*G11</f>
        <v/>
      </c>
      <c r="I11" s="29" t="inlineStr">
        <is>
          <t>概算</t>
        </is>
      </c>
      <c r="J11" s="30" t="inlineStr">
        <is>
          <t>XIAO・IM920SL実装用</t>
        </is>
      </c>
    </row>
    <row r="12" ht="32.8" customHeight="1" s="20">
      <c r="A12" s="24" t="inlineStr">
        <is>
          <t>送信側</t>
        </is>
      </c>
      <c r="B12" s="24" t="inlineStr">
        <is>
          <t>モバイルバッテリー（5V USB出力）</t>
        </is>
      </c>
      <c r="C12" s="25" t="inlineStr">
        <is>
          <t>—</t>
        </is>
      </c>
      <c r="D12" s="25" t="inlineStr">
        <is>
          <t>—</t>
        </is>
      </c>
      <c r="E12" s="24" t="inlineStr">
        <is>
          <t>任意</t>
        </is>
      </c>
      <c r="F12" s="26" t="n">
        <v>1</v>
      </c>
      <c r="G12" s="27" t="n">
        <v>0</v>
      </c>
      <c r="H12" s="28">
        <f>F12*G12</f>
        <v/>
      </c>
      <c r="I12" s="29" t="inlineStr">
        <is>
          <t>手持ち流用想定</t>
        </is>
      </c>
      <c r="J12" s="30" t="inlineStr">
        <is>
          <t>XIAOのUSB-Cへ給電。低電流で自動OFFしない機種が望ましい</t>
        </is>
      </c>
    </row>
    <row r="13" ht="32.8" customHeight="1" s="20">
      <c r="A13" s="24" t="inlineStr">
        <is>
          <t>送信側</t>
        </is>
      </c>
      <c r="B13" s="25" t="inlineStr">
        <is>
          <t>USBケーブル（バッテリー→XIAO USB-C）</t>
        </is>
      </c>
      <c r="C13" s="25" t="inlineStr">
        <is>
          <t>—</t>
        </is>
      </c>
      <c r="D13" s="25" t="inlineStr">
        <is>
          <t>—</t>
        </is>
      </c>
      <c r="E13" s="24" t="inlineStr">
        <is>
          <t>任意</t>
        </is>
      </c>
      <c r="F13" s="26" t="n">
        <v>1</v>
      </c>
      <c r="G13" s="27" t="n">
        <v>0</v>
      </c>
      <c r="H13" s="28">
        <f>F13*G13</f>
        <v/>
      </c>
      <c r="I13" s="29" t="inlineStr">
        <is>
          <t>手持ち流用想定</t>
        </is>
      </c>
      <c r="J13" s="29" t="n"/>
    </row>
    <row r="14" ht="17.15" customHeight="1" s="20">
      <c r="A14" s="24" t="inlineStr">
        <is>
          <t>受信側</t>
        </is>
      </c>
      <c r="B14" s="25" t="inlineStr">
        <is>
          <t>Seeed XIAO RP2040</t>
        </is>
      </c>
      <c r="C14" s="25" t="inlineStr">
        <is>
          <t>102010428</t>
        </is>
      </c>
      <c r="D14" s="25" t="inlineStr">
        <is>
          <t>2229736</t>
        </is>
      </c>
      <c r="E14" s="24" t="inlineStr">
        <is>
          <t>必須</t>
        </is>
      </c>
      <c r="F14" s="26" t="n">
        <v>1</v>
      </c>
      <c r="G14" s="27" t="n">
        <v>980</v>
      </c>
      <c r="H14" s="28">
        <f>F14*G14</f>
        <v/>
      </c>
      <c r="I14" s="29" t="inlineStr">
        <is>
          <t>秋月電子 税込価格(参考)</t>
        </is>
      </c>
      <c r="J14" s="29" t="inlineStr">
        <is>
          <t>ネイティブUSBでHIDゲームパッドとしてPCに接続</t>
        </is>
      </c>
    </row>
    <row r="15" ht="32.8" customHeight="1" s="20">
      <c r="A15" s="24" t="inlineStr">
        <is>
          <t>受信側</t>
        </is>
      </c>
      <c r="B15" s="25" t="inlineStr">
        <is>
          <t>920MHz無線モジュール（ワイヤーアンテナ）</t>
        </is>
      </c>
      <c r="C15" s="25" t="inlineStr">
        <is>
          <t>IM920SL</t>
        </is>
      </c>
      <c r="D15" s="25" t="inlineStr">
        <is>
          <t>2218859</t>
        </is>
      </c>
      <c r="E15" s="24" t="inlineStr">
        <is>
          <t>必須</t>
        </is>
      </c>
      <c r="F15" s="26" t="n">
        <v>1</v>
      </c>
      <c r="G15" s="27" t="n">
        <v>4750</v>
      </c>
      <c r="H15" s="28">
        <f>F15*G15</f>
        <v/>
      </c>
      <c r="I15" s="29" t="inlineStr">
        <is>
          <t>マルツ定価(2023年キャンペーン告知)</t>
        </is>
      </c>
      <c r="J15" s="29" t="inlineStr">
        <is>
          <t>親機（ノード0001）。UARTはGPIO0/1</t>
        </is>
      </c>
    </row>
    <row r="16" ht="17.15" customHeight="1" s="20">
      <c r="A16" s="24" t="inlineStr">
        <is>
          <t>受信側</t>
        </is>
      </c>
      <c r="B16" s="24" t="inlineStr">
        <is>
          <t>ユニバーサル基板（小型）</t>
        </is>
      </c>
      <c r="C16" s="25" t="inlineStr">
        <is>
          <t>—</t>
        </is>
      </c>
      <c r="D16" s="24" t="inlineStr">
        <is>
          <t>要検索</t>
        </is>
      </c>
      <c r="E16" s="24" t="inlineStr">
        <is>
          <t>必須</t>
        </is>
      </c>
      <c r="F16" s="26" t="n">
        <v>1</v>
      </c>
      <c r="G16" s="27" t="n">
        <v>150</v>
      </c>
      <c r="H16" s="28">
        <f>F16*G16</f>
        <v/>
      </c>
      <c r="I16" s="29" t="inlineStr">
        <is>
          <t>概算</t>
        </is>
      </c>
      <c r="J16" s="29" t="n"/>
    </row>
    <row r="17" ht="17.15" customHeight="1" s="20">
      <c r="A17" s="24" t="inlineStr">
        <is>
          <t>受信側</t>
        </is>
      </c>
      <c r="B17" s="24" t="inlineStr">
        <is>
          <t>ピンヘッダ／ピンソケット 2.54mm</t>
        </is>
      </c>
      <c r="C17" s="25" t="inlineStr">
        <is>
          <t>—</t>
        </is>
      </c>
      <c r="D17" s="24" t="inlineStr">
        <is>
          <t>要検索</t>
        </is>
      </c>
      <c r="E17" s="24" t="inlineStr">
        <is>
          <t>必須</t>
        </is>
      </c>
      <c r="F17" s="26" t="n">
        <v>1</v>
      </c>
      <c r="G17" s="27" t="n">
        <v>100</v>
      </c>
      <c r="H17" s="28">
        <f>F17*G17</f>
        <v/>
      </c>
      <c r="I17" s="29" t="inlineStr">
        <is>
          <t>概算</t>
        </is>
      </c>
      <c r="J17" s="29" t="n"/>
    </row>
    <row r="18" ht="17.15" customHeight="1" s="20">
      <c r="A18" s="24" t="inlineStr">
        <is>
          <t>受信側</t>
        </is>
      </c>
      <c r="B18" s="25" t="inlineStr">
        <is>
          <t>USB-Cケーブル（PC接続）</t>
        </is>
      </c>
      <c r="C18" s="25" t="inlineStr">
        <is>
          <t>—</t>
        </is>
      </c>
      <c r="D18" s="25" t="inlineStr">
        <is>
          <t>—</t>
        </is>
      </c>
      <c r="E18" s="24" t="inlineStr">
        <is>
          <t>任意</t>
        </is>
      </c>
      <c r="F18" s="26" t="n">
        <v>1</v>
      </c>
      <c r="G18" s="27" t="n">
        <v>0</v>
      </c>
      <c r="H18" s="28">
        <f>F18*G18</f>
        <v/>
      </c>
      <c r="I18" s="29" t="inlineStr">
        <is>
          <t>手持ち流用想定</t>
        </is>
      </c>
      <c r="J18" s="29" t="n"/>
    </row>
    <row r="19" ht="26.85" customHeight="1" s="20">
      <c r="A19" s="24" t="inlineStr">
        <is>
          <t>共通・開発用</t>
        </is>
      </c>
      <c r="B19" s="25" t="inlineStr">
        <is>
          <t>USBインタフェースボード</t>
        </is>
      </c>
      <c r="C19" s="25" t="inlineStr">
        <is>
          <t>IM920-USB2</t>
        </is>
      </c>
      <c r="D19" s="24" t="inlineStr">
        <is>
          <t>要検索</t>
        </is>
      </c>
      <c r="E19" s="24" t="inlineStr">
        <is>
          <t>任意</t>
        </is>
      </c>
      <c r="F19" s="26" t="n">
        <v>0</v>
      </c>
      <c r="G19" s="27" t="n">
        <v>2500</v>
      </c>
      <c r="H19" s="28">
        <f>F19*G19</f>
        <v/>
      </c>
      <c r="I19" s="29" t="inlineStr">
        <is>
          <t>マルツ定価(2023年キャンペーン告知)</t>
        </is>
      </c>
      <c r="J19" s="29" t="inlineStr">
        <is>
          <t>不要（XIAOのUSBブリッジで代替）。数量0で集計外</t>
        </is>
      </c>
    </row>
    <row r="20" ht="32.8" customHeight="1" s="20">
      <c r="A20" s="24" t="inlineStr">
        <is>
          <t>共通</t>
        </is>
      </c>
      <c r="B20" s="24" t="inlineStr">
        <is>
          <t>積層セラミックコンデンサ 10µF（C2）</t>
        </is>
      </c>
      <c r="C20" s="25" t="inlineStr">
        <is>
          <t>—</t>
        </is>
      </c>
      <c r="D20" s="24" t="inlineStr">
        <is>
          <t>要検索</t>
        </is>
      </c>
      <c r="E20" s="24" t="inlineStr">
        <is>
          <t>必須</t>
        </is>
      </c>
      <c r="F20" s="26" t="n">
        <v>2</v>
      </c>
      <c r="G20" s="27" t="n">
        <v>20</v>
      </c>
      <c r="H20" s="28">
        <f>F20*G20</f>
        <v/>
      </c>
      <c r="I20" s="29" t="inlineStr">
        <is>
          <t>概算</t>
        </is>
      </c>
      <c r="J20" s="30" t="inlineStr">
        <is>
          <t>IM920SL VCC 直近（送信機・受信機に各1）</t>
        </is>
      </c>
    </row>
    <row r="21" ht="32.8" customHeight="1" s="20">
      <c r="A21" s="24" t="inlineStr">
        <is>
          <t>共通</t>
        </is>
      </c>
      <c r="B21" s="24" t="inlineStr">
        <is>
          <t>積層セラミックコンデンサ 0.1µF（C3）</t>
        </is>
      </c>
      <c r="C21" s="25" t="inlineStr">
        <is>
          <t>—</t>
        </is>
      </c>
      <c r="D21" s="24" t="inlineStr">
        <is>
          <t>要検索</t>
        </is>
      </c>
      <c r="E21" s="24" t="inlineStr">
        <is>
          <t>必須</t>
        </is>
      </c>
      <c r="F21" s="26" t="n">
        <v>2</v>
      </c>
      <c r="G21" s="27" t="n">
        <v>10</v>
      </c>
      <c r="H21" s="28">
        <f>F21*G21</f>
        <v/>
      </c>
      <c r="I21" s="29" t="inlineStr">
        <is>
          <t>概算</t>
        </is>
      </c>
      <c r="J21" s="30" t="inlineStr">
        <is>
          <t>IM920SL VCC 直近（各1）</t>
        </is>
      </c>
    </row>
    <row r="22" ht="17.15" customHeight="1" s="20">
      <c r="A22" s="24" t="inlineStr">
        <is>
          <t>共通</t>
        </is>
      </c>
      <c r="B22" s="25" t="inlineStr">
        <is>
          <t>IM920sL用変換アダプタ（2.54mm J1/J2）</t>
        </is>
      </c>
      <c r="C22" s="25" t="inlineStr">
        <is>
          <t>IM920sL-ADP</t>
        </is>
      </c>
      <c r="D22" s="24" t="inlineStr">
        <is>
          <t>要検索</t>
        </is>
      </c>
      <c r="E22" s="24" t="inlineStr">
        <is>
          <t>必須</t>
        </is>
      </c>
      <c r="F22" s="26" t="n">
        <v>2</v>
      </c>
      <c r="G22" s="27" t="n">
        <v>1400</v>
      </c>
      <c r="H22" s="28">
        <f>F23*G23</f>
        <v/>
      </c>
      <c r="I22" s="29" t="inlineStr">
        <is>
          <t>仮置き（旧IM920C-ADPの2023年定価）</t>
        </is>
      </c>
      <c r="J22" s="30" t="inlineStr">
        <is>
          <t>IM920sLの20ピンコネクタを2.54mmピッチに変換。販売状況・価格を要確認</t>
        </is>
      </c>
    </row>
    <row r="23" ht="32.8" customHeight="1" s="20">
      <c r="A23" s="24" t="inlineStr">
        <is>
          <t>共通・開発用</t>
        </is>
      </c>
      <c r="B23" s="24" t="inlineStr">
        <is>
          <t>ジャンパワイヤ・ブレッドボード</t>
        </is>
      </c>
      <c r="C23" s="25" t="inlineStr">
        <is>
          <t>—</t>
        </is>
      </c>
      <c r="D23" s="25" t="inlineStr">
        <is>
          <t>—</t>
        </is>
      </c>
      <c r="E23" s="24" t="inlineStr">
        <is>
          <t>任意</t>
        </is>
      </c>
      <c r="F23" s="26" t="n">
        <v>1</v>
      </c>
      <c r="G23" s="27" t="n">
        <v>0</v>
      </c>
      <c r="H23" s="28">
        <f>F25*G25</f>
        <v/>
      </c>
      <c r="I23" s="29" t="inlineStr">
        <is>
          <t>手持ち流用想定</t>
        </is>
      </c>
      <c r="J23" s="29" t="inlineStr">
        <is>
          <t>試作用</t>
        </is>
      </c>
    </row>
    <row r="24" ht="17.15" customHeight="1" s="20">
      <c r="A24" s="24" t="inlineStr">
        <is>
          <t>将来・距離延長</t>
        </is>
      </c>
      <c r="B24" s="25" t="inlineStr">
        <is>
          <t>920MHz無線モジュール（外部アンテナタイプ）</t>
        </is>
      </c>
      <c r="C24" s="25" t="inlineStr">
        <is>
          <t>IM920SL-XT</t>
        </is>
      </c>
      <c r="D24" s="25" t="inlineStr">
        <is>
          <t>2218863</t>
        </is>
      </c>
      <c r="E24" s="24" t="inlineStr">
        <is>
          <t>任意</t>
        </is>
      </c>
      <c r="F24" s="26" t="n">
        <v>0</v>
      </c>
      <c r="G24" s="27" t="n">
        <v>7600</v>
      </c>
      <c r="H24" s="28">
        <f>F26*G26</f>
        <v/>
      </c>
      <c r="I24" s="29" t="inlineStr">
        <is>
          <t>マルツ定価(2023年キャンペーン告知)</t>
        </is>
      </c>
      <c r="J24" s="29" t="inlineStr">
        <is>
          <t>距離不足時にIM920SLと置き換え（数量0で集計外）</t>
        </is>
      </c>
    </row>
    <row r="25" ht="17.15" customHeight="1" s="20"/>
    <row r="26" ht="32.8" customHeight="1" s="20">
      <c r="G26" s="31" t="inlineStr">
        <is>
          <t>必須部品 合計</t>
        </is>
      </c>
      <c r="H26" s="32">
        <f>SUMIFS(H5:H24,E5:E24,"必須")</f>
        <v/>
      </c>
    </row>
    <row r="27">
      <c r="G27" s="31" t="inlineStr">
        <is>
          <t>任意部品 合計</t>
        </is>
      </c>
      <c r="H27" s="32">
        <f>SUMIFS(H5:H24,E5:E24,"任意")</f>
        <v/>
      </c>
    </row>
    <row r="28" ht="15" customHeight="1" s="20">
      <c r="G28" s="31" t="inlineStr">
        <is>
          <t>総計</t>
        </is>
      </c>
      <c r="H28" s="32">
        <f>SUM(H5:H24)</f>
        <v/>
      </c>
    </row>
    <row r="29" ht="15" customHeight="1" s="20">
      <c r="G29" s="31" t="inlineStr">
        <is>
          <t>送料無料までの残額（マルツ：3,000円以上で送料無料）</t>
        </is>
      </c>
      <c r="H29" s="32">
        <f>MAX(0,3000-H28)</f>
        <v/>
      </c>
    </row>
    <row r="30" ht="15" customHeight="1" s="20"/>
    <row r="31" ht="17.15" customHeight="1" s="20">
      <c r="A31" s="33" t="inlineStr">
        <is>
          <t>注記：</t>
        </is>
      </c>
    </row>
    <row r="32">
      <c r="A32" s="34" t="inlineStr">
        <is>
          <t>・マルツ定価はマルツセレクトの2023年8月キャンペーン告知の定価。現在価格は発注時に確認のこと。https://www.marutsu.co.jp/select/list/detail.php?id=1808</t>
        </is>
      </c>
    </row>
    <row r="33" ht="15" customHeight="1" s="20">
      <c r="A33" s="34" t="inlineStr">
        <is>
          <t>・XIAO RP2040・USB-A DIP化基板の単価は秋月電子の税込価格（参考）。マルツでの価格は異なる場合あり。https://akizukidenshi.com/catalog/g/g117044/</t>
        </is>
      </c>
    </row>
    <row r="34" ht="15" customHeight="1" s="20">
      <c r="A34" s="34" t="inlineStr">
        <is>
          <t>・「概算」は汎用品の目安。「手持ち流用想定」は0円で計上。</t>
        </is>
      </c>
    </row>
    <row r="35" ht="15" customHeight="1" s="20">
      <c r="A35" s="34" t="inlineStr">
        <is>
          <t>・マルツ商品番号はマルツ商品ページURL（/pc/i/番号/）から。「要検索」はマルツで同等品を検索。</t>
        </is>
      </c>
    </row>
    <row r="36" ht="15" customHeight="1" s="20">
      <c r="A36" s="34" t="inlineStr">
        <is>
          <t>・送料無料条件（3,000円以上）は検索結果の表示に基づく。発注時に確認のこと。</t>
        </is>
      </c>
    </row>
    <row r="37" ht="15" customHeight="1" s="20">
      <c r="A37" t="inlineStr">
        <is>
          <t>・Rev.3：タクトスイッチ（SW1）と STATUS LED は削除。設定/ペアリングは XIAO の BOOTSEL、</t>
        </is>
      </c>
    </row>
    <row r="38" ht="15" customHeight="1" s="20">
      <c r="A38" t="inlineStr">
        <is>
          <t xml:space="preserve">　状態表示は XIAO オンボードのカラー LED を使うため不要。</t>
        </is>
      </c>
    </row>
    <row r="39"/>
    <row r="40"/>
    <row r="41"/>
  </sheetData>
  <autoFilter ref="A4:J26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" customWidth="1" style="19" min="1" max="1"/>
    <col width="12" customWidth="1" style="19" min="2" max="2"/>
    <col width="10" customWidth="1" style="19" min="3" max="3"/>
    <col width="26" customWidth="1" style="19" min="4" max="4"/>
    <col width="50" customWidth="1" style="19" min="5" max="5"/>
  </cols>
  <sheetData>
    <row r="1" ht="21.6" customHeight="1" s="20">
      <c r="A1" s="21" t="inlineStr">
        <is>
          <t>XIAO RP2040 ピン割り当て（実配線・Rev.3）</t>
        </is>
      </c>
    </row>
    <row r="3" ht="17.15" customHeight="1" s="20">
      <c r="A3" s="35" t="inlineStr">
        <is>
          <t>基板</t>
        </is>
      </c>
      <c r="B3" s="36" t="inlineStr">
        <is>
          <t>XIAOピン</t>
        </is>
      </c>
      <c r="C3" s="36" t="inlineStr">
        <is>
          <t>GPIO</t>
        </is>
      </c>
      <c r="D3" s="35" t="inlineStr">
        <is>
          <t>接続先</t>
        </is>
      </c>
      <c r="E3" s="35" t="inlineStr">
        <is>
          <t>備考</t>
        </is>
      </c>
    </row>
    <row r="4" ht="17.15" customHeight="1" s="20">
      <c r="A4" s="37" t="inlineStr">
        <is>
          <t>送信側</t>
        </is>
      </c>
      <c r="B4" s="38" t="inlineStr">
        <is>
          <t>D0</t>
        </is>
      </c>
      <c r="C4" s="38" t="inlineStr">
        <is>
          <t>GPIO26</t>
        </is>
      </c>
      <c r="D4" s="38" t="inlineStr">
        <is>
          <t>USB-A D+</t>
        </is>
      </c>
      <c r="E4" s="38" t="inlineStr">
        <is>
          <t>PIO-USB（pin_dp=26, DPDM）。ファームが起動時に自動判別する</t>
        </is>
      </c>
    </row>
    <row r="5" ht="17.15" customHeight="1" s="20">
      <c r="A5" s="37" t="inlineStr">
        <is>
          <t>送信側</t>
        </is>
      </c>
      <c r="B5" s="38" t="inlineStr">
        <is>
          <t>D1</t>
        </is>
      </c>
      <c r="C5" s="38" t="inlineStr">
        <is>
          <t>GPIO27</t>
        </is>
      </c>
      <c r="D5" s="38" t="inlineStr">
        <is>
          <t>USB-A D−</t>
        </is>
      </c>
      <c r="E5" s="38" t="inlineStr">
        <is>
          <t>D+ の次番号である必要あり</t>
        </is>
      </c>
    </row>
    <row r="6" ht="17.15" customHeight="1" s="20">
      <c r="A6" s="37" t="inlineStr">
        <is>
          <t>送信側</t>
        </is>
      </c>
      <c r="B6" s="38" t="inlineStr">
        <is>
          <t>5V</t>
        </is>
      </c>
      <c r="C6" s="38" t="inlineStr">
        <is>
          <t>—</t>
        </is>
      </c>
      <c r="D6" s="38" t="inlineStr">
        <is>
          <t>USB-A VBUS</t>
        </is>
      </c>
      <c r="E6" s="38" t="inlineStr">
        <is>
          <t>USB-C給電時に5V出力</t>
        </is>
      </c>
    </row>
    <row r="7" ht="15" customHeight="1" s="20">
      <c r="A7" s="37" t="inlineStr">
        <is>
          <t>送信側</t>
        </is>
      </c>
      <c r="B7" s="38" t="inlineStr">
        <is>
          <t>GND</t>
        </is>
      </c>
      <c r="C7" s="38" t="inlineStr">
        <is>
          <t>—</t>
        </is>
      </c>
      <c r="D7" s="38" t="inlineStr">
        <is>
          <t>USB-A GND / ADP J2-9 GND</t>
        </is>
      </c>
      <c r="E7" s="37" t="n"/>
    </row>
    <row r="8" ht="17.15" customHeight="1" s="20">
      <c r="A8" s="37" t="inlineStr">
        <is>
          <t>送信側</t>
        </is>
      </c>
      <c r="B8" s="38" t="inlineStr">
        <is>
          <t>D6 (TX)</t>
        </is>
      </c>
      <c r="C8" s="38" t="inlineStr">
        <is>
          <t>GPIO0</t>
        </is>
      </c>
      <c r="D8" s="38" t="inlineStr">
        <is>
          <t>ADP J2-3 RxD（IM920sL pin6）</t>
        </is>
      </c>
      <c r="E8" s="38" t="inlineStr">
        <is>
          <t>Serial1</t>
        </is>
      </c>
    </row>
    <row r="9" ht="17.15" customHeight="1" s="20">
      <c r="A9" s="37" t="inlineStr">
        <is>
          <t>送信側</t>
        </is>
      </c>
      <c r="B9" s="38" t="inlineStr">
        <is>
          <t>D7 (RX)</t>
        </is>
      </c>
      <c r="C9" s="38" t="inlineStr">
        <is>
          <t>GPIO1</t>
        </is>
      </c>
      <c r="D9" s="38" t="inlineStr">
        <is>
          <t>ADP J1-4 TxD（pin7）</t>
        </is>
      </c>
      <c r="E9" s="38" t="inlineStr">
        <is>
          <t>Serial1</t>
        </is>
      </c>
    </row>
    <row r="10" ht="17.15" customHeight="1" s="20">
      <c r="A10" s="37" t="inlineStr">
        <is>
          <t>送信側</t>
        </is>
      </c>
      <c r="B10" s="38" t="inlineStr">
        <is>
          <t>3V3</t>
        </is>
      </c>
      <c r="C10" s="38" t="inlineStr">
        <is>
          <t>—</t>
        </is>
      </c>
      <c r="D10" s="38" t="inlineStr">
        <is>
          <t>ADP J1-9 VCC（pin17）</t>
        </is>
      </c>
      <c r="E10" s="38" t="inlineStr">
        <is>
          <t>C2 10µF＋C3 0.1µF を近くに</t>
        </is>
      </c>
    </row>
    <row r="11" ht="17.15" customHeight="1" s="20">
      <c r="A11" s="37" t="inlineStr">
        <is>
          <t>送信側</t>
        </is>
      </c>
      <c r="B11" s="38" t="inlineStr">
        <is>
          <t>D2</t>
        </is>
      </c>
      <c r="C11" s="38" t="inlineStr">
        <is>
          <t>GPIO28</t>
        </is>
      </c>
      <c r="D11" s="38" t="inlineStr">
        <is>
          <t>ADP J1-1 BUSY（pin1）</t>
        </is>
      </c>
      <c r="E11" s="38" t="inlineStr">
        <is>
          <t>L=コマンド受付可</t>
        </is>
      </c>
    </row>
    <row r="12" ht="17.15" customHeight="1" s="20">
      <c r="A12" s="37" t="inlineStr">
        <is>
          <t>送信側</t>
        </is>
      </c>
      <c r="B12" s="38" t="inlineStr">
        <is>
          <t>D3</t>
        </is>
      </c>
      <c r="C12" s="38" t="inlineStr">
        <is>
          <t>GPIO29</t>
        </is>
      </c>
      <c r="D12" s="38" t="inlineStr">
        <is>
          <t>ADP J1-10 RESET（pin19）</t>
        </is>
      </c>
      <c r="E12" s="38" t="inlineStr">
        <is>
          <t>L有効・内部10kΩプルアップ</t>
        </is>
      </c>
    </row>
    <row r="13" ht="17.15" customHeight="1" s="20">
      <c r="A13" s="37" t="inlineStr">
        <is>
          <t>受信側</t>
        </is>
      </c>
      <c r="B13" s="38" t="inlineStr">
        <is>
          <t>USB-C</t>
        </is>
      </c>
      <c r="C13" s="38" t="inlineStr">
        <is>
          <t>—</t>
        </is>
      </c>
      <c r="D13" s="38" t="inlineStr">
        <is>
          <t>PC</t>
        </is>
      </c>
      <c r="E13" s="38" t="inlineStr">
        <is>
          <t>TinyUSB HIDゲームパッド</t>
        </is>
      </c>
    </row>
    <row r="14" ht="17.15" customHeight="1" s="20">
      <c r="A14" s="37" t="inlineStr">
        <is>
          <t>受信側</t>
        </is>
      </c>
      <c r="B14" s="38" t="inlineStr">
        <is>
          <t>D6 (TX)</t>
        </is>
      </c>
      <c r="C14" s="38" t="inlineStr">
        <is>
          <t>GPIO0</t>
        </is>
      </c>
      <c r="D14" s="38" t="inlineStr">
        <is>
          <t>ADP J2-3 RxD（pin6）</t>
        </is>
      </c>
      <c r="E14" s="38" t="inlineStr">
        <is>
          <t>Serial1</t>
        </is>
      </c>
    </row>
    <row r="15" ht="17.15" customHeight="1" s="20">
      <c r="A15" s="37" t="inlineStr">
        <is>
          <t>受信側</t>
        </is>
      </c>
      <c r="B15" s="38" t="inlineStr">
        <is>
          <t>D7 (RX)</t>
        </is>
      </c>
      <c r="C15" s="38" t="inlineStr">
        <is>
          <t>GPIO1</t>
        </is>
      </c>
      <c r="D15" s="38" t="inlineStr">
        <is>
          <t>ADP J1-4 TxD（pin7）</t>
        </is>
      </c>
      <c r="E15" s="38" t="inlineStr">
        <is>
          <t>Serial1</t>
        </is>
      </c>
    </row>
    <row r="16" ht="17.15" customHeight="1" s="20">
      <c r="A16" s="37" t="inlineStr">
        <is>
          <t>受信側</t>
        </is>
      </c>
      <c r="B16" s="38" t="inlineStr">
        <is>
          <t>3V3 / GND</t>
        </is>
      </c>
      <c r="C16" s="38" t="inlineStr">
        <is>
          <t>—</t>
        </is>
      </c>
      <c r="D16" s="38" t="inlineStr">
        <is>
          <t>ADP J1-9 VCC / J2-9 GND</t>
        </is>
      </c>
      <c r="E16" s="37" t="n"/>
    </row>
    <row r="17" ht="15" customHeight="1" s="20">
      <c r="A17" s="37" t="inlineStr">
        <is>
          <t>受信側</t>
        </is>
      </c>
      <c r="B17" s="38" t="inlineStr">
        <is>
          <t>D2 / D3</t>
        </is>
      </c>
      <c r="C17" s="38" t="inlineStr">
        <is>
          <t>GPIO28/29</t>
        </is>
      </c>
      <c r="D17" s="38" t="inlineStr">
        <is>
          <t>BUSY / RESET</t>
        </is>
      </c>
      <c r="E17" s="37" t="inlineStr">
        <is>
          <t>送信側と同じ</t>
        </is>
      </c>
    </row>
    <row r="18" ht="15" customHeight="1" s="20">
      <c r="A18" s="37" t="inlineStr">
        <is>
          <t>共通</t>
        </is>
      </c>
      <c r="B18" s="38" t="inlineStr">
        <is>
          <t>—</t>
        </is>
      </c>
      <c r="C18" s="38" t="inlineStr">
        <is>
          <t>—</t>
        </is>
      </c>
      <c r="D18" s="38" t="inlineStr">
        <is>
          <t>ADP その他のピン</t>
        </is>
      </c>
      <c r="E18" s="37" t="inlineStr">
        <is>
          <t>未接続（IO8〜IO10はオープンでデータモード）</t>
        </is>
      </c>
    </row>
    <row r="19" ht="15" customHeight="1" s="20">
      <c r="A19" s="37" t="inlineStr">
        <is>
          <t>共通</t>
        </is>
      </c>
      <c r="B19" s="38" t="inlineStr">
        <is>
          <t>—</t>
        </is>
      </c>
      <c r="C19" s="38" t="inlineStr">
        <is>
          <t>—</t>
        </is>
      </c>
      <c r="D19" s="38" t="inlineStr">
        <is>
          <t>—</t>
        </is>
      </c>
      <c r="E19" s="38" t="inlineStr">
        <is>
          <t>Arduino-Pico で CPU Speed=240MHz（PIO-USB の要件、送信側のみ必須）</t>
        </is>
      </c>
    </row>
    <row r="20" ht="17.15" customHeight="1" s="20"/>
    <row r="21" ht="17.15" customHeight="1" s="20">
      <c r="A21" s="22" t="inlineStr">
        <is>
          <t>根拠：IM920sL 取扱説明書 Rev.1.5 表15、IM920sL-ADP 製品資料 Rev.1.0 回路図。</t>
        </is>
      </c>
    </row>
    <row r="22">
      <c r="A22" t="inlineStr">
        <is>
          <t>共通</t>
        </is>
      </c>
      <c r="D22" t="inlineStr">
        <is>
          <t>設定/ペアリング＝XIAO の BOOTSEL ボタン</t>
        </is>
      </c>
      <c r="E22" t="inlineStr">
        <is>
          <t>SW1 は廃止（起動後 5 秒の受付ウィンドウ、または赤点滅中に長押し）</t>
        </is>
      </c>
    </row>
    <row r="23" ht="15" customHeight="1" s="20">
      <c r="A23" t="inlineStr">
        <is>
          <t>共通</t>
        </is>
      </c>
      <c r="D23" t="inlineStr">
        <is>
          <t>状態表示＝XIAO オンボードのカラー LED</t>
        </is>
      </c>
      <c r="E23" t="inlineStr">
        <is>
          <t>NeoPixel(GPIO12/電源GPIO11) と三色 LED(R17/G16/B25)。STATUS LED は廃止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2026-09-17T13:18:41Z</dcterms:created>
  <dcterms:modified xmlns:dcterms="http://purl.org/dc/terms/" xmlns:xsi="http://www.w3.org/2001/XMLSchema-instance" xsi:type="dcterms:W3CDTF">2026-09-19T05:27:51Z</dcterms:modified>
  <cp:revision>0</cp:revision>
</cp:coreProperties>
</file>