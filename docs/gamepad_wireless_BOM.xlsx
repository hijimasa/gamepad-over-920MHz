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部品表" sheetId="1" state="visible" r:id="rId3"/>
    <sheet name="配線" sheetId="2" state="visible" r:id="rId4"/>
  </sheets>
  <definedNames>
    <definedName function="false" hidden="true" localSheetId="0" name="_xlnm._FilterDatabase" vbProcedure="false">部品表!$A$4:$J$26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<sst xmlns="http://schemas.openxmlformats.org/spreadsheetml/2006/main" count="266" uniqueCount="135">
  <si>
    <r>
      <rPr>
        <b val="true"/>
        <sz val="14"/>
        <rFont val="Arial"/>
        <family val="0"/>
        <charset val="1"/>
      </rPr>
      <t xml:space="preserve">USB</t>
    </r>
    <r>
      <rPr>
        <b val="true"/>
        <sz val="14"/>
        <rFont val="Noto Sans CJK SC"/>
        <family val="2"/>
      </rPr>
      <t xml:space="preserve">ゲームパッド無線化（</t>
    </r>
    <r>
      <rPr>
        <b val="true"/>
        <sz val="14"/>
        <rFont val="Arial"/>
        <family val="0"/>
        <charset val="1"/>
      </rPr>
      <t xml:space="preserve">IM920sL × XIAO RP2040</t>
    </r>
    <r>
      <rPr>
        <b val="true"/>
        <sz val="14"/>
        <rFont val="Noto Sans CJK SC"/>
        <family val="2"/>
      </rPr>
      <t xml:space="preserve">）部品表</t>
    </r>
  </si>
  <si>
    <r>
      <rPr>
        <i val="true"/>
        <sz val="9"/>
        <rFont val="Noto Sans CJK SC"/>
        <family val="2"/>
      </rPr>
      <t xml:space="preserve">青字＝編集可能な入力（数量・単価）。単価はマルツ発注時に最新価格へ更新してください。必須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任意列でフィルタできます。</t>
    </r>
  </si>
  <si>
    <t xml:space="preserve">区分</t>
  </si>
  <si>
    <t xml:space="preserve">品名</t>
  </si>
  <si>
    <t xml:space="preserve">型番</t>
  </si>
  <si>
    <t xml:space="preserve">マルツ商品番号</t>
  </si>
  <si>
    <r>
      <rPr>
        <b val="true"/>
        <sz val="11"/>
        <rFont val="Noto Sans CJK SC"/>
        <family val="2"/>
      </rPr>
      <t xml:space="preserve">必須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任意</t>
    </r>
  </si>
  <si>
    <t xml:space="preserve">数量</t>
  </si>
  <si>
    <r>
      <rPr>
        <b val="true"/>
        <sz val="11"/>
        <rFont val="Noto Sans CJK SC"/>
        <family val="2"/>
      </rPr>
      <t xml:space="preserve">単価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円・税込・参考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</si>
  <si>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小計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円</t>
    </r>
    <r>
      <rPr>
        <b val="true"/>
        <sz val="11"/>
        <rFont val="Arial"/>
        <family val="0"/>
        <charset val="1"/>
      </rPr>
      <t xml:space="preserve">)</t>
    </r>
  </si>
  <si>
    <t xml:space="preserve">価格の根拠</t>
  </si>
  <si>
    <t xml:space="preserve">備考</t>
  </si>
  <si>
    <t xml:space="preserve">送信側</t>
  </si>
  <si>
    <t xml:space="preserve">Seeed XIAO RP2040</t>
  </si>
  <si>
    <t xml:space="preserve">102010428</t>
  </si>
  <si>
    <t xml:space="preserve">2229736</t>
  </si>
  <si>
    <t xml:space="preserve">必須</t>
  </si>
  <si>
    <r>
      <rPr>
        <sz val="9"/>
        <rFont val="Noto Sans CJK SC"/>
        <family val="2"/>
      </rPr>
      <t xml:space="preserve">秋月電子 税込価格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参考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</si>
  <si>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PIO-USB</t>
    </r>
    <r>
      <rPr>
        <sz val="9"/>
        <rFont val="Noto Sans CJK SC"/>
        <family val="2"/>
      </rPr>
      <t xml:space="preserve">で</t>
    </r>
    <r>
      <rPr>
        <sz val="9"/>
        <rFont val="Arial"/>
        <family val="0"/>
        <charset val="1"/>
      </rPr>
      <t xml:space="preserve">USB</t>
    </r>
    <r>
      <rPr>
        <sz val="9"/>
        <rFont val="Noto Sans CJK SC"/>
        <family val="2"/>
      </rPr>
      <t xml:space="preserve">ホスト（</t>
    </r>
    <r>
      <rPr>
        <sz val="9"/>
        <rFont val="Arial"/>
        <family val="0"/>
        <charset val="1"/>
      </rPr>
      <t xml:space="preserve">GPIO26/27 or GPIO2/3</t>
    </r>
    <r>
      <rPr>
        <sz val="9"/>
        <rFont val="Noto Sans CJK SC"/>
        <family val="2"/>
      </rPr>
      <t xml:space="preserve">）、</t>
    </r>
    <r>
      <rPr>
        <sz val="9"/>
        <rFont val="Arial"/>
        <family val="0"/>
        <charset val="1"/>
      </rPr>
      <t xml:space="preserve">UART</t>
    </r>
    <r>
      <rPr>
        <sz val="9"/>
        <rFont val="Noto Sans CJK SC"/>
        <family val="2"/>
      </rPr>
      <t xml:space="preserve">は</t>
    </r>
    <r>
      <rPr>
        <sz val="9"/>
        <rFont val="Arial"/>
        <family val="0"/>
        <charset val="1"/>
      </rPr>
      <t xml:space="preserve">GPIO0/1</t>
    </r>
  </si>
  <si>
    <r>
      <rPr>
        <sz val="11"/>
        <rFont val="Arial"/>
        <family val="0"/>
        <charset val="1"/>
      </rPr>
      <t xml:space="preserve">920MHz</t>
    </r>
    <r>
      <rPr>
        <sz val="11"/>
        <rFont val="Noto Sans CJK SC"/>
        <family val="2"/>
      </rPr>
      <t xml:space="preserve">無線モジュール（ワイヤーアンテナ）</t>
    </r>
  </si>
  <si>
    <t xml:space="preserve">IM920SL</t>
  </si>
  <si>
    <t xml:space="preserve">2218859</t>
  </si>
  <si>
    <r>
      <rPr>
        <sz val="9"/>
        <rFont val="Noto Sans CJK SC"/>
        <family val="2"/>
      </rPr>
      <t xml:space="preserve">マルツ定価</t>
    </r>
    <r>
      <rPr>
        <sz val="9"/>
        <rFont val="Arial"/>
        <family val="0"/>
        <charset val="1"/>
      </rPr>
      <t xml:space="preserve">(2023</t>
    </r>
    <r>
      <rPr>
        <sz val="9"/>
        <rFont val="Noto Sans CJK SC"/>
        <family val="2"/>
      </rPr>
      <t xml:space="preserve">年キャンペーン告知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</si>
  <si>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DC2.1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3.5V</t>
    </r>
    <r>
      <rPr>
        <sz val="9"/>
        <rFont val="Noto Sans CJK SC"/>
        <family val="2"/>
      </rPr>
      <t xml:space="preserve">、送信時</t>
    </r>
    <r>
      <rPr>
        <sz val="9"/>
        <rFont val="Arial"/>
        <family val="0"/>
        <charset val="1"/>
      </rPr>
      <t xml:space="preserve">27mA typ.</t>
    </r>
    <r>
      <rPr>
        <sz val="9"/>
        <rFont val="Noto Sans CJK SC"/>
        <family val="2"/>
      </rPr>
      <t xml:space="preserve">（</t>
    </r>
    <r>
      <rPr>
        <sz val="9"/>
        <rFont val="Arial"/>
        <family val="0"/>
        <charset val="1"/>
      </rPr>
      <t xml:space="preserve">XIAO</t>
    </r>
    <r>
      <rPr>
        <sz val="9"/>
        <rFont val="Noto Sans CJK SC"/>
        <family val="2"/>
      </rPr>
      <t xml:space="preserve">の</t>
    </r>
    <r>
      <rPr>
        <sz val="9"/>
        <rFont val="Arial"/>
        <family val="0"/>
        <charset val="1"/>
      </rPr>
      <t xml:space="preserve">3V3</t>
    </r>
    <r>
      <rPr>
        <sz val="9"/>
        <rFont val="Noto Sans CJK SC"/>
        <family val="2"/>
      </rPr>
      <t xml:space="preserve">から供給可）。変換アダプタ経由で接続</t>
    </r>
  </si>
  <si>
    <r>
      <rPr>
        <sz val="11"/>
        <rFont val="Arial"/>
        <family val="0"/>
        <charset val="1"/>
      </rPr>
      <t xml:space="preserve">USB Type-A </t>
    </r>
    <r>
      <rPr>
        <sz val="11"/>
        <rFont val="Noto Sans CJK SC"/>
        <family val="2"/>
      </rPr>
      <t xml:space="preserve">メスコネクタ </t>
    </r>
    <r>
      <rPr>
        <sz val="11"/>
        <rFont val="Arial"/>
        <family val="0"/>
        <charset val="1"/>
      </rPr>
      <t xml:space="preserve">DIP</t>
    </r>
    <r>
      <rPr>
        <sz val="11"/>
        <rFont val="Noto Sans CJK SC"/>
        <family val="2"/>
      </rPr>
      <t xml:space="preserve">化基板</t>
    </r>
  </si>
  <si>
    <r>
      <rPr>
        <sz val="11"/>
        <rFont val="Arial"/>
        <family val="0"/>
        <charset val="1"/>
      </rPr>
      <t xml:space="preserve">AE-USB-A-DIP </t>
    </r>
    <r>
      <rPr>
        <sz val="11"/>
        <rFont val="Noto Sans CJK SC"/>
        <family val="2"/>
      </rPr>
      <t xml:space="preserve">相当</t>
    </r>
  </si>
  <si>
    <t xml:space="preserve">要検索</t>
  </si>
  <si>
    <r>
      <rPr>
        <sz val="9"/>
        <rFont val="Noto Sans CJK SC"/>
        <family val="2"/>
      </rPr>
      <t xml:space="preserve">ゲームパッド接続用。</t>
    </r>
    <r>
      <rPr>
        <sz val="9"/>
        <rFont val="Arial"/>
        <family val="0"/>
        <charset val="1"/>
      </rPr>
      <t xml:space="preserve">VBUS</t>
    </r>
    <r>
      <rPr>
        <sz val="9"/>
        <rFont val="Noto Sans CJK SC"/>
        <family val="2"/>
      </rPr>
      <t xml:space="preserve">は</t>
    </r>
    <r>
      <rPr>
        <sz val="9"/>
        <rFont val="Arial"/>
        <family val="0"/>
        <charset val="1"/>
      </rPr>
      <t xml:space="preserve">XIAO</t>
    </r>
    <r>
      <rPr>
        <sz val="9"/>
        <rFont val="Noto Sans CJK SC"/>
        <family val="2"/>
      </rPr>
      <t xml:space="preserve">の</t>
    </r>
    <r>
      <rPr>
        <sz val="9"/>
        <rFont val="Arial"/>
        <family val="0"/>
        <charset val="1"/>
      </rPr>
      <t xml:space="preserve">5V</t>
    </r>
    <r>
      <rPr>
        <sz val="9"/>
        <rFont val="Noto Sans CJK SC"/>
        <family val="2"/>
      </rPr>
      <t xml:space="preserve">ピンから</t>
    </r>
  </si>
  <si>
    <r>
      <rPr>
        <sz val="11"/>
        <rFont val="Noto Sans CJK SC"/>
        <family val="2"/>
      </rPr>
      <t xml:space="preserve">電解コンデンサ </t>
    </r>
    <r>
      <rPr>
        <sz val="11"/>
        <rFont val="Arial"/>
        <family val="0"/>
        <charset val="1"/>
      </rPr>
      <t xml:space="preserve">47µF 10V</t>
    </r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C1</t>
    </r>
    <r>
      <rPr>
        <sz val="11"/>
        <rFont val="Noto Sans CJK SC"/>
        <family val="2"/>
      </rPr>
      <t xml:space="preserve">）</t>
    </r>
  </si>
  <si>
    <t xml:space="preserve">—</t>
  </si>
  <si>
    <t xml:space="preserve">概算</t>
  </si>
  <si>
    <r>
      <rPr>
        <sz val="9"/>
        <rFont val="Arial"/>
        <family val="0"/>
        <charset val="1"/>
      </rPr>
      <t xml:space="preserve">+5V</t>
    </r>
    <r>
      <rPr>
        <sz val="9"/>
        <rFont val="Noto Sans CJK SC"/>
        <family val="2"/>
      </rPr>
      <t xml:space="preserve">（ゲームパッド給電）の突入電流対策</t>
    </r>
  </si>
  <si>
    <r>
      <rPr>
        <sz val="11"/>
        <rFont val="Noto Sans CJK SC"/>
        <family val="2"/>
      </rPr>
      <t xml:space="preserve">抵抗 </t>
    </r>
    <r>
      <rPr>
        <sz val="11"/>
        <rFont val="Arial"/>
        <family val="0"/>
        <charset val="1"/>
      </rPr>
      <t xml:space="preserve">22Ω 1/4W</t>
    </r>
  </si>
  <si>
    <t xml:space="preserve">任意</t>
  </si>
  <si>
    <r>
      <rPr>
        <sz val="9"/>
        <rFont val="Arial"/>
        <family val="0"/>
        <charset val="1"/>
      </rPr>
      <t xml:space="preserve">D+/D−</t>
    </r>
    <r>
      <rPr>
        <sz val="9"/>
        <rFont val="Noto Sans CJK SC"/>
        <family val="2"/>
      </rPr>
      <t xml:space="preserve">の直列抵抗（直結で動く例も多い）</t>
    </r>
  </si>
  <si>
    <t xml:space="preserve">ユニバーサル基板（小型）</t>
  </si>
  <si>
    <r>
      <rPr>
        <sz val="11"/>
        <rFont val="Noto Sans CJK SC"/>
        <family val="2"/>
      </rPr>
      <t xml:space="preserve">ピンヘッダ／ピンソケット </t>
    </r>
    <r>
      <rPr>
        <sz val="11"/>
        <rFont val="Arial"/>
        <family val="0"/>
        <charset val="1"/>
      </rPr>
      <t xml:space="preserve">2.54mm</t>
    </r>
  </si>
  <si>
    <r>
      <rPr>
        <sz val="9"/>
        <rFont val="Arial"/>
        <family val="0"/>
        <charset val="1"/>
      </rPr>
      <t xml:space="preserve">XIAO</t>
    </r>
    <r>
      <rPr>
        <sz val="9"/>
        <rFont val="Noto Sans CJK SC"/>
        <family val="2"/>
      </rPr>
      <t xml:space="preserve">・</t>
    </r>
    <r>
      <rPr>
        <sz val="9"/>
        <rFont val="Arial"/>
        <family val="0"/>
        <charset val="1"/>
      </rPr>
      <t xml:space="preserve">IM920SL</t>
    </r>
    <r>
      <rPr>
        <sz val="9"/>
        <rFont val="Noto Sans CJK SC"/>
        <family val="2"/>
      </rPr>
      <t xml:space="preserve">実装用</t>
    </r>
  </si>
  <si>
    <r>
      <rPr>
        <sz val="11"/>
        <rFont val="Noto Sans CJK SC"/>
        <family val="2"/>
      </rPr>
      <t xml:space="preserve">モバイルバッテリー（</t>
    </r>
    <r>
      <rPr>
        <sz val="11"/>
        <rFont val="Arial"/>
        <family val="0"/>
        <charset val="1"/>
      </rPr>
      <t xml:space="preserve">5V USB</t>
    </r>
    <r>
      <rPr>
        <sz val="11"/>
        <rFont val="Noto Sans CJK SC"/>
        <family val="2"/>
      </rPr>
      <t xml:space="preserve">出力）</t>
    </r>
  </si>
  <si>
    <t xml:space="preserve">手持ち流用想定</t>
  </si>
  <si>
    <r>
      <rPr>
        <sz val="9"/>
        <rFont val="Arial"/>
        <family val="0"/>
        <charset val="1"/>
      </rPr>
      <t xml:space="preserve">XIAO</t>
    </r>
    <r>
      <rPr>
        <sz val="9"/>
        <rFont val="Noto Sans CJK SC"/>
        <family val="2"/>
      </rPr>
      <t xml:space="preserve">の</t>
    </r>
    <r>
      <rPr>
        <sz val="9"/>
        <rFont val="Arial"/>
        <family val="0"/>
        <charset val="1"/>
      </rPr>
      <t xml:space="preserve">USB-C</t>
    </r>
    <r>
      <rPr>
        <sz val="9"/>
        <rFont val="Noto Sans CJK SC"/>
        <family val="2"/>
      </rPr>
      <t xml:space="preserve">へ給電。低電流で自動</t>
    </r>
    <r>
      <rPr>
        <sz val="9"/>
        <rFont val="Arial"/>
        <family val="0"/>
        <charset val="1"/>
      </rPr>
      <t xml:space="preserve">OFF</t>
    </r>
    <r>
      <rPr>
        <sz val="9"/>
        <rFont val="Noto Sans CJK SC"/>
        <family val="2"/>
      </rPr>
      <t xml:space="preserve">しない機種が望ましい</t>
    </r>
  </si>
  <si>
    <r>
      <rPr>
        <sz val="11"/>
        <rFont val="Arial"/>
        <family val="0"/>
        <charset val="1"/>
      </rPr>
      <t xml:space="preserve">USB</t>
    </r>
    <r>
      <rPr>
        <sz val="11"/>
        <rFont val="Noto Sans CJK SC"/>
        <family val="2"/>
      </rPr>
      <t xml:space="preserve">ケーブル（バッテリー→</t>
    </r>
    <r>
      <rPr>
        <sz val="11"/>
        <rFont val="Arial"/>
        <family val="0"/>
        <charset val="1"/>
      </rPr>
      <t xml:space="preserve">XIAO USB-C</t>
    </r>
    <r>
      <rPr>
        <sz val="11"/>
        <rFont val="Noto Sans CJK SC"/>
        <family val="2"/>
      </rPr>
      <t xml:space="preserve">）</t>
    </r>
  </si>
  <si>
    <t xml:space="preserve">受信側</t>
  </si>
  <si>
    <r>
      <rPr>
        <sz val="9"/>
        <rFont val="Noto Sans CJK SC"/>
        <family val="2"/>
      </rPr>
      <t xml:space="preserve">ネイティブ</t>
    </r>
    <r>
      <rPr>
        <sz val="9"/>
        <rFont val="Arial"/>
        <family val="0"/>
        <charset val="1"/>
      </rPr>
      <t xml:space="preserve">USB</t>
    </r>
    <r>
      <rPr>
        <sz val="9"/>
        <rFont val="Noto Sans CJK SC"/>
        <family val="2"/>
      </rPr>
      <t xml:space="preserve">で</t>
    </r>
    <r>
      <rPr>
        <sz val="9"/>
        <rFont val="Arial"/>
        <family val="0"/>
        <charset val="1"/>
      </rPr>
      <t xml:space="preserve">HID</t>
    </r>
    <r>
      <rPr>
        <sz val="9"/>
        <rFont val="Noto Sans CJK SC"/>
        <family val="2"/>
      </rPr>
      <t xml:space="preserve">ゲームパッドとして</t>
    </r>
    <r>
      <rPr>
        <sz val="9"/>
        <rFont val="Arial"/>
        <family val="0"/>
        <charset val="1"/>
      </rPr>
      <t xml:space="preserve">PC</t>
    </r>
    <r>
      <rPr>
        <sz val="9"/>
        <rFont val="Noto Sans CJK SC"/>
        <family val="2"/>
      </rPr>
      <t xml:space="preserve">に接続</t>
    </r>
  </si>
  <si>
    <r>
      <rPr>
        <sz val="9"/>
        <rFont val="Noto Sans CJK SC"/>
        <family val="2"/>
      </rPr>
      <t xml:space="preserve">親機（ノード</t>
    </r>
    <r>
      <rPr>
        <sz val="9"/>
        <rFont val="Arial"/>
        <family val="0"/>
        <charset val="1"/>
      </rPr>
      <t xml:space="preserve">0001</t>
    </r>
    <r>
      <rPr>
        <sz val="9"/>
        <rFont val="Noto Sans CJK SC"/>
        <family val="2"/>
      </rPr>
      <t xml:space="preserve">）。</t>
    </r>
    <r>
      <rPr>
        <sz val="9"/>
        <rFont val="Arial"/>
        <family val="0"/>
        <charset val="1"/>
      </rPr>
      <t xml:space="preserve">UART</t>
    </r>
    <r>
      <rPr>
        <sz val="9"/>
        <rFont val="Noto Sans CJK SC"/>
        <family val="2"/>
      </rPr>
      <t xml:space="preserve">は</t>
    </r>
    <r>
      <rPr>
        <sz val="9"/>
        <rFont val="Arial"/>
        <family val="0"/>
        <charset val="1"/>
      </rPr>
      <t xml:space="preserve">GPIO0/1</t>
    </r>
  </si>
  <si>
    <r>
      <rPr>
        <sz val="11"/>
        <rFont val="Arial"/>
        <family val="0"/>
        <charset val="1"/>
      </rPr>
      <t xml:space="preserve">USB-C</t>
    </r>
    <r>
      <rPr>
        <sz val="11"/>
        <rFont val="Noto Sans CJK SC"/>
        <family val="2"/>
      </rPr>
      <t xml:space="preserve">ケーブル（</t>
    </r>
    <r>
      <rPr>
        <sz val="11"/>
        <rFont val="Arial"/>
        <family val="0"/>
        <charset val="1"/>
      </rPr>
      <t xml:space="preserve">PC</t>
    </r>
    <r>
      <rPr>
        <sz val="11"/>
        <rFont val="Noto Sans CJK SC"/>
        <family val="2"/>
      </rPr>
      <t xml:space="preserve">接続）</t>
    </r>
  </si>
  <si>
    <t xml:space="preserve">共通・開発用</t>
  </si>
  <si>
    <r>
      <rPr>
        <sz val="11"/>
        <rFont val="Arial"/>
        <family val="0"/>
        <charset val="1"/>
      </rPr>
      <t xml:space="preserve">USB</t>
    </r>
    <r>
      <rPr>
        <sz val="11"/>
        <rFont val="Noto Sans CJK SC"/>
        <family val="2"/>
      </rPr>
      <t xml:space="preserve">インタフェースボード</t>
    </r>
  </si>
  <si>
    <t xml:space="preserve">IM920-USB2</t>
  </si>
  <si>
    <r>
      <rPr>
        <sz val="9"/>
        <rFont val="Noto Sans CJK SC"/>
        <family val="2"/>
      </rPr>
      <t xml:space="preserve">不要（</t>
    </r>
    <r>
      <rPr>
        <sz val="9"/>
        <rFont val="Arial"/>
        <family val="0"/>
        <charset val="1"/>
      </rPr>
      <t xml:space="preserve">XIAO</t>
    </r>
    <r>
      <rPr>
        <sz val="9"/>
        <rFont val="Noto Sans CJK SC"/>
        <family val="2"/>
      </rPr>
      <t xml:space="preserve">の</t>
    </r>
    <r>
      <rPr>
        <sz val="9"/>
        <rFont val="Arial"/>
        <family val="0"/>
        <charset val="1"/>
      </rPr>
      <t xml:space="preserve">USB</t>
    </r>
    <r>
      <rPr>
        <sz val="9"/>
        <rFont val="Noto Sans CJK SC"/>
        <family val="2"/>
      </rPr>
      <t xml:space="preserve">ブリッジで代替）。数量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で集計外</t>
    </r>
  </si>
  <si>
    <t xml:space="preserve">共通</t>
  </si>
  <si>
    <r>
      <rPr>
        <sz val="11"/>
        <rFont val="Noto Sans CJK SC"/>
        <family val="2"/>
      </rPr>
      <t xml:space="preserve">積層セラミックコンデンサ </t>
    </r>
    <r>
      <rPr>
        <sz val="11"/>
        <rFont val="Arial"/>
        <family val="0"/>
        <charset val="1"/>
      </rPr>
      <t xml:space="preserve">10µF</t>
    </r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C2</t>
    </r>
    <r>
      <rPr>
        <sz val="11"/>
        <rFont val="Noto Sans CJK SC"/>
        <family val="2"/>
      </rPr>
      <t xml:space="preserve">）</t>
    </r>
  </si>
  <si>
    <r>
      <rPr>
        <sz val="9"/>
        <rFont val="Arial"/>
        <family val="0"/>
        <charset val="1"/>
      </rPr>
      <t xml:space="preserve">IM920SL VCC </t>
    </r>
    <r>
      <rPr>
        <sz val="9"/>
        <rFont val="Noto Sans CJK SC"/>
        <family val="2"/>
      </rPr>
      <t xml:space="preserve">直近（送信機・受信機に各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</si>
  <si>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積層セラミックコンデンサ </t>
    </r>
    <r>
      <rPr>
        <sz val="11"/>
        <rFont val="Arial"/>
        <family val="0"/>
        <charset val="1"/>
      </rPr>
      <t xml:space="preserve">0.1µF</t>
    </r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C3</t>
    </r>
    <r>
      <rPr>
        <sz val="11"/>
        <rFont val="Noto Sans CJK SC"/>
        <family val="2"/>
      </rPr>
      <t xml:space="preserve">）</t>
    </r>
  </si>
  <si>
    <r>
      <rPr>
        <sz val="9"/>
        <rFont val="Arial"/>
        <family val="0"/>
        <charset val="1"/>
      </rPr>
      <t xml:space="preserve">IM920SL VCC </t>
    </r>
    <r>
      <rPr>
        <sz val="9"/>
        <rFont val="Noto Sans CJK SC"/>
        <family val="2"/>
      </rPr>
      <t xml:space="preserve">直近（各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</si>
  <si>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タクトスイッチ（</t>
    </r>
    <r>
      <rPr>
        <sz val="11"/>
        <rFont val="Arial"/>
        <family val="0"/>
        <charset val="1"/>
      </rPr>
      <t xml:space="preserve">SW1</t>
    </r>
    <r>
      <rPr>
        <sz val="11"/>
        <rFont val="Noto Sans CJK SC"/>
        <family val="2"/>
      </rPr>
      <t xml:space="preserve">）</t>
    </r>
  </si>
  <si>
    <r>
      <rPr>
        <sz val="9"/>
        <rFont val="Noto Sans CJK SC"/>
        <family val="2"/>
      </rPr>
      <t xml:space="preserve">設定モード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ペアリング用（各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）</t>
    </r>
  </si>
  <si>
    <r>
      <rPr>
        <sz val="11"/>
        <rFont val="Arial"/>
        <family val="0"/>
        <charset val="1"/>
      </rPr>
      <t xml:space="preserve">IM920sL</t>
    </r>
    <r>
      <rPr>
        <sz val="11"/>
        <rFont val="Noto Sans CJK SC"/>
        <family val="2"/>
      </rPr>
      <t xml:space="preserve">用変換アダプタ（</t>
    </r>
    <r>
      <rPr>
        <sz val="11"/>
        <rFont val="Arial"/>
        <family val="0"/>
        <charset val="1"/>
      </rPr>
      <t xml:space="preserve">2.54mm J1/J2</t>
    </r>
    <r>
      <rPr>
        <sz val="11"/>
        <rFont val="Noto Sans CJK SC"/>
        <family val="2"/>
      </rPr>
      <t xml:space="preserve">）</t>
    </r>
  </si>
  <si>
    <t xml:space="preserve">IM920sL-ADP</t>
  </si>
  <si>
    <r>
      <rPr>
        <sz val="9"/>
        <rFont val="Noto Sans CJK SC"/>
        <family val="2"/>
      </rPr>
      <t xml:space="preserve">仮置き（旧</t>
    </r>
    <r>
      <rPr>
        <sz val="9"/>
        <rFont val="Arial"/>
        <family val="0"/>
        <charset val="1"/>
      </rPr>
      <t xml:space="preserve">IM920C-ADP</t>
    </r>
    <r>
      <rPr>
        <sz val="9"/>
        <rFont val="Noto Sans CJK SC"/>
        <family val="2"/>
      </rPr>
      <t xml:space="preserve">の</t>
    </r>
    <r>
      <rPr>
        <sz val="9"/>
        <rFont val="Arial"/>
        <family val="0"/>
        <charset val="1"/>
      </rPr>
      <t xml:space="preserve">2023</t>
    </r>
    <r>
      <rPr>
        <sz val="9"/>
        <rFont val="Noto Sans CJK SC"/>
        <family val="2"/>
      </rPr>
      <t xml:space="preserve">年定価）</t>
    </r>
  </si>
  <si>
    <r>
      <rPr>
        <sz val="9"/>
        <rFont val="Arial"/>
        <family val="0"/>
        <charset val="1"/>
      </rPr>
      <t xml:space="preserve">IM920sL</t>
    </r>
    <r>
      <rPr>
        <sz val="9"/>
        <rFont val="Noto Sans CJK SC"/>
        <family val="2"/>
      </rPr>
      <t xml:space="preserve">の</t>
    </r>
    <r>
      <rPr>
        <sz val="9"/>
        <rFont val="Arial"/>
        <family val="0"/>
        <charset val="1"/>
      </rPr>
      <t xml:space="preserve">20</t>
    </r>
    <r>
      <rPr>
        <sz val="9"/>
        <rFont val="Noto Sans CJK SC"/>
        <family val="2"/>
      </rPr>
      <t xml:space="preserve">ピンコネクタを</t>
    </r>
    <r>
      <rPr>
        <sz val="9"/>
        <rFont val="Arial"/>
        <family val="0"/>
        <charset val="1"/>
      </rPr>
      <t xml:space="preserve">2.54mm</t>
    </r>
    <r>
      <rPr>
        <sz val="9"/>
        <rFont val="Noto Sans CJK SC"/>
        <family val="2"/>
      </rPr>
      <t xml:space="preserve">ピッチに変換。販売状況・価格を要確認</t>
    </r>
  </si>
  <si>
    <r>
      <rPr>
        <sz val="11"/>
        <rFont val="Arial"/>
        <family val="0"/>
        <charset val="1"/>
      </rPr>
      <t xml:space="preserve">LED</t>
    </r>
    <r>
      <rPr>
        <sz val="11"/>
        <rFont val="Noto Sans CJK SC"/>
        <family val="2"/>
      </rPr>
      <t xml:space="preserve">＋抵抗 </t>
    </r>
    <r>
      <rPr>
        <sz val="11"/>
        <rFont val="Arial"/>
        <family val="0"/>
        <charset val="1"/>
      </rPr>
      <t xml:space="preserve">1kΩ</t>
    </r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LED1/R3</t>
    </r>
    <r>
      <rPr>
        <sz val="11"/>
        <rFont val="Noto Sans CJK SC"/>
        <family val="2"/>
      </rPr>
      <t xml:space="preserve">）</t>
    </r>
  </si>
  <si>
    <r>
      <rPr>
        <sz val="9"/>
        <rFont val="Arial"/>
        <family val="0"/>
        <charset val="1"/>
      </rPr>
      <t xml:space="preserve">IM920sL STATUS</t>
    </r>
    <r>
      <rPr>
        <sz val="9"/>
        <rFont val="Noto Sans CJK SC"/>
        <family val="2"/>
      </rPr>
      <t xml:space="preserve">表示（ペアリング確認に便利）</t>
    </r>
  </si>
  <si>
    <t xml:space="preserve">ジャンパワイヤ・ブレッドボード</t>
  </si>
  <si>
    <t xml:space="preserve">試作用</t>
  </si>
  <si>
    <t xml:space="preserve">将来・距離延長</t>
  </si>
  <si>
    <r>
      <rPr>
        <sz val="11"/>
        <rFont val="Arial"/>
        <family val="0"/>
        <charset val="1"/>
      </rPr>
      <t xml:space="preserve">920MHz</t>
    </r>
    <r>
      <rPr>
        <sz val="11"/>
        <rFont val="Noto Sans CJK SC"/>
        <family val="2"/>
      </rPr>
      <t xml:space="preserve">無線モジュール（外部アンテナタイプ）</t>
    </r>
  </si>
  <si>
    <t xml:space="preserve">IM920SL-XT</t>
  </si>
  <si>
    <t xml:space="preserve">2218863</t>
  </si>
  <si>
    <r>
      <rPr>
        <sz val="9"/>
        <rFont val="Noto Sans CJK SC"/>
        <family val="2"/>
      </rPr>
      <t xml:space="preserve">距離不足時に</t>
    </r>
    <r>
      <rPr>
        <sz val="9"/>
        <rFont val="Arial"/>
        <family val="0"/>
        <charset val="1"/>
      </rPr>
      <t xml:space="preserve">IM920SL</t>
    </r>
    <r>
      <rPr>
        <sz val="9"/>
        <rFont val="Noto Sans CJK SC"/>
        <family val="2"/>
      </rPr>
      <t xml:space="preserve">と置き換え（数量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で集計外）</t>
    </r>
  </si>
  <si>
    <t xml:space="preserve">必須部品 合計</t>
  </si>
  <si>
    <t xml:space="preserve">任意部品 合計</t>
  </si>
  <si>
    <t xml:space="preserve">総計</t>
  </si>
  <si>
    <r>
      <rPr>
        <b val="true"/>
        <sz val="11"/>
        <rFont val="Noto Sans CJK SC"/>
        <family val="2"/>
      </rPr>
      <t xml:space="preserve">送料無料までの残額（マルツ：</t>
    </r>
    <r>
      <rPr>
        <b val="true"/>
        <sz val="11"/>
        <rFont val="Arial"/>
        <family val="0"/>
        <charset val="1"/>
      </rPr>
      <t xml:space="preserve">3,000</t>
    </r>
    <r>
      <rPr>
        <b val="true"/>
        <sz val="11"/>
        <rFont val="Noto Sans CJK SC"/>
        <family val="2"/>
      </rPr>
      <t xml:space="preserve">円以上で送料無料）</t>
    </r>
  </si>
  <si>
    <t xml:space="preserve">注記：</t>
  </si>
  <si>
    <r>
      <rPr>
        <sz val="9"/>
        <rFont val="Noto Sans CJK SC"/>
        <family val="2"/>
      </rPr>
      <t xml:space="preserve">・マルツ定価はマルツセレクトの</t>
    </r>
    <r>
      <rPr>
        <sz val="9"/>
        <rFont val="Arial"/>
        <family val="0"/>
        <charset val="1"/>
      </rPr>
      <t xml:space="preserve">2023</t>
    </r>
    <r>
      <rPr>
        <sz val="9"/>
        <rFont val="Noto Sans CJK SC"/>
        <family val="2"/>
      </rPr>
      <t xml:space="preserve">年</t>
    </r>
    <r>
      <rPr>
        <sz val="9"/>
        <rFont val="Arial"/>
        <family val="0"/>
        <charset val="1"/>
      </rPr>
      <t xml:space="preserve">8</t>
    </r>
    <r>
      <rPr>
        <sz val="9"/>
        <rFont val="Noto Sans CJK SC"/>
        <family val="2"/>
      </rPr>
      <t xml:space="preserve">月キャンペーン告知の定価。現在価格は発注時に確認のこと。</t>
    </r>
    <r>
      <rPr>
        <sz val="9"/>
        <rFont val="Arial"/>
        <family val="0"/>
        <charset val="1"/>
      </rPr>
      <t xml:space="preserve">https://www.marutsu.co.jp/select/list/detail.php?id=1808</t>
    </r>
  </si>
  <si>
    <r>
      <rPr>
        <sz val="9"/>
        <rFont val="Noto Sans CJK SC"/>
        <family val="2"/>
      </rPr>
      <t xml:space="preserve">・</t>
    </r>
    <r>
      <rPr>
        <sz val="9"/>
        <rFont val="Arial"/>
        <family val="0"/>
        <charset val="1"/>
      </rPr>
      <t xml:space="preserve">XIAO RP2040</t>
    </r>
    <r>
      <rPr>
        <sz val="9"/>
        <rFont val="Noto Sans CJK SC"/>
        <family val="2"/>
      </rPr>
      <t xml:space="preserve">・</t>
    </r>
    <r>
      <rPr>
        <sz val="9"/>
        <rFont val="Arial"/>
        <family val="0"/>
        <charset val="1"/>
      </rPr>
      <t xml:space="preserve">USB-A DIP</t>
    </r>
    <r>
      <rPr>
        <sz val="9"/>
        <rFont val="Noto Sans CJK SC"/>
        <family val="2"/>
      </rPr>
      <t xml:space="preserve">化基板の単価は秋月電子の税込価格（参考）。マルツでの価格は異なる場合あり。</t>
    </r>
    <r>
      <rPr>
        <sz val="9"/>
        <rFont val="Arial"/>
        <family val="0"/>
        <charset val="1"/>
      </rPr>
      <t xml:space="preserve">https://akizukidenshi.com/catalog/g/g117044/</t>
    </r>
  </si>
  <si>
    <r>
      <rPr>
        <sz val="9"/>
        <rFont val="Noto Sans CJK SC"/>
        <family val="2"/>
      </rPr>
      <t xml:space="preserve">・「概算」は汎用品の目安。「手持ち流用想定」は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円で計上。</t>
    </r>
  </si>
  <si>
    <r>
      <rPr>
        <sz val="9"/>
        <rFont val="Noto Sans CJK SC"/>
        <family val="2"/>
      </rPr>
      <t xml:space="preserve">・マルツ商品番号はマルツ商品ページ</t>
    </r>
    <r>
      <rPr>
        <sz val="9"/>
        <rFont val="Arial"/>
        <family val="0"/>
        <charset val="1"/>
      </rPr>
      <t xml:space="preserve">URL</t>
    </r>
    <r>
      <rPr>
        <sz val="9"/>
        <rFont val="Noto Sans CJK SC"/>
        <family val="2"/>
      </rPr>
      <t xml:space="preserve">（</t>
    </r>
    <r>
      <rPr>
        <sz val="9"/>
        <rFont val="Arial"/>
        <family val="0"/>
        <charset val="1"/>
      </rPr>
      <t xml:space="preserve">/pc/i/</t>
    </r>
    <r>
      <rPr>
        <sz val="9"/>
        <rFont val="Noto Sans CJK SC"/>
        <family val="2"/>
      </rPr>
      <t xml:space="preserve">番号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）から。「要検索」はマルツで同等品を検索。</t>
    </r>
  </si>
  <si>
    <r>
      <rPr>
        <sz val="9"/>
        <rFont val="Noto Sans CJK SC"/>
        <family val="2"/>
      </rPr>
      <t xml:space="preserve">・送料無料条件（</t>
    </r>
    <r>
      <rPr>
        <sz val="9"/>
        <rFont val="Arial"/>
        <family val="0"/>
        <charset val="1"/>
      </rPr>
      <t xml:space="preserve">3,000</t>
    </r>
    <r>
      <rPr>
        <sz val="9"/>
        <rFont val="Noto Sans CJK SC"/>
        <family val="2"/>
      </rPr>
      <t xml:space="preserve">円以上）は検索結果の表示に基づく。発注時に確認のこと。</t>
    </r>
  </si>
  <si>
    <r>
      <rPr>
        <b val="true"/>
        <sz val="14"/>
        <rFont val="Arial"/>
        <family val="0"/>
        <charset val="1"/>
      </rPr>
      <t xml:space="preserve">XIAO RP2040 </t>
    </r>
    <r>
      <rPr>
        <b val="true"/>
        <sz val="14"/>
        <rFont val="Noto Sans CJK SC"/>
        <family val="2"/>
      </rPr>
      <t xml:space="preserve">ピン割り当て（案）</t>
    </r>
  </si>
  <si>
    <t xml:space="preserve">基板</t>
  </si>
  <si>
    <r>
      <rPr>
        <b val="true"/>
        <sz val="11"/>
        <rFont val="Arial"/>
        <family val="0"/>
        <charset val="1"/>
      </rPr>
      <t xml:space="preserve">XIAO</t>
    </r>
    <r>
      <rPr>
        <b val="true"/>
        <sz val="11"/>
        <rFont val="Noto Sans CJK SC"/>
        <family val="2"/>
      </rPr>
      <t xml:space="preserve">ピン</t>
    </r>
  </si>
  <si>
    <t xml:space="preserve">GPIO</t>
  </si>
  <si>
    <t xml:space="preserve">接続先</t>
  </si>
  <si>
    <t xml:space="preserve">D0</t>
  </si>
  <si>
    <t xml:space="preserve">GPIO26</t>
  </si>
  <si>
    <t xml:space="preserve">USB-A D+</t>
  </si>
  <si>
    <r>
      <rPr>
        <sz val="11"/>
        <rFont val="Arial"/>
        <family val="0"/>
        <charset val="1"/>
      </rPr>
      <t xml:space="preserve">PIO-USB</t>
    </r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pin_dp=26</t>
    </r>
    <r>
      <rPr>
        <sz val="11"/>
        <rFont val="Noto Sans CJK SC"/>
        <family val="2"/>
      </rPr>
      <t xml:space="preserve">）。</t>
    </r>
    <r>
      <rPr>
        <sz val="11"/>
        <rFont val="Arial"/>
        <family val="0"/>
        <charset val="1"/>
      </rPr>
      <t xml:space="preserve">22Ω</t>
    </r>
    <r>
      <rPr>
        <sz val="11"/>
        <rFont val="Noto Sans CJK SC"/>
        <family val="2"/>
      </rPr>
      <t xml:space="preserve">直列は任意</t>
    </r>
  </si>
  <si>
    <t xml:space="preserve">D1</t>
  </si>
  <si>
    <t xml:space="preserve">GPIO27</t>
  </si>
  <si>
    <t xml:space="preserve">USB-A D−</t>
  </si>
  <si>
    <r>
      <rPr>
        <sz val="11"/>
        <rFont val="Arial"/>
        <family val="0"/>
        <charset val="1"/>
      </rPr>
      <t xml:space="preserve">D+</t>
    </r>
    <r>
      <rPr>
        <sz val="11"/>
        <rFont val="Noto Sans CJK SC"/>
        <family val="2"/>
      </rPr>
      <t xml:space="preserve">の次番号である必要あり</t>
    </r>
  </si>
  <si>
    <t xml:space="preserve">5V</t>
  </si>
  <si>
    <t xml:space="preserve">USB-A VBUS</t>
  </si>
  <si>
    <r>
      <rPr>
        <sz val="11"/>
        <rFont val="Arial"/>
        <family val="0"/>
        <charset val="1"/>
      </rPr>
      <t xml:space="preserve">USB-C</t>
    </r>
    <r>
      <rPr>
        <sz val="11"/>
        <rFont val="Noto Sans CJK SC"/>
        <family val="2"/>
      </rPr>
      <t xml:space="preserve">給電時に</t>
    </r>
    <r>
      <rPr>
        <sz val="11"/>
        <rFont val="Arial"/>
        <family val="0"/>
        <charset val="1"/>
      </rPr>
      <t xml:space="preserve">5V</t>
    </r>
    <r>
      <rPr>
        <sz val="11"/>
        <rFont val="Noto Sans CJK SC"/>
        <family val="2"/>
      </rPr>
      <t xml:space="preserve">出力</t>
    </r>
  </si>
  <si>
    <t xml:space="preserve">GND</t>
  </si>
  <si>
    <t xml:space="preserve">USB-A GND / ADP J2-9 GND</t>
  </si>
  <si>
    <t xml:space="preserve">D6 (TX)</t>
  </si>
  <si>
    <t xml:space="preserve">GPIO0</t>
  </si>
  <si>
    <r>
      <rPr>
        <sz val="11"/>
        <rFont val="Arial"/>
        <family val="0"/>
        <charset val="1"/>
      </rPr>
      <t xml:space="preserve">ADP J2-3 RxD</t>
    </r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IM920sL pin6</t>
    </r>
    <r>
      <rPr>
        <sz val="11"/>
        <rFont val="Noto Sans CJK SC"/>
        <family val="2"/>
      </rPr>
      <t xml:space="preserve">）</t>
    </r>
  </si>
  <si>
    <t xml:space="preserve">Serial1</t>
  </si>
  <si>
    <t xml:space="preserve">D7 (RX)</t>
  </si>
  <si>
    <t xml:space="preserve">GPIO1</t>
  </si>
  <si>
    <r>
      <rPr>
        <sz val="11"/>
        <rFont val="Arial"/>
        <family val="0"/>
        <charset val="1"/>
      </rPr>
      <t xml:space="preserve">ADP J1-4 TxD</t>
    </r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pin7</t>
    </r>
    <r>
      <rPr>
        <sz val="11"/>
        <rFont val="Noto Sans CJK SC"/>
        <family val="2"/>
      </rPr>
      <t xml:space="preserve">）</t>
    </r>
  </si>
  <si>
    <t xml:space="preserve">3V3</t>
  </si>
  <si>
    <r>
      <rPr>
        <sz val="11"/>
        <rFont val="Arial"/>
        <family val="0"/>
        <charset val="1"/>
      </rPr>
      <t xml:space="preserve">ADP J1-9 VCC</t>
    </r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pin17</t>
    </r>
    <r>
      <rPr>
        <sz val="11"/>
        <rFont val="Noto Sans CJK SC"/>
        <family val="2"/>
      </rPr>
      <t xml:space="preserve">）</t>
    </r>
  </si>
  <si>
    <r>
      <rPr>
        <sz val="11"/>
        <rFont val="Arial"/>
        <family val="0"/>
        <charset val="1"/>
      </rPr>
      <t xml:space="preserve">C2 10µF</t>
    </r>
    <r>
      <rPr>
        <sz val="11"/>
        <rFont val="Noto Sans CJK SC"/>
        <family val="2"/>
      </rPr>
      <t xml:space="preserve">＋</t>
    </r>
    <r>
      <rPr>
        <sz val="11"/>
        <rFont val="Arial"/>
        <family val="0"/>
        <charset val="1"/>
      </rPr>
      <t xml:space="preserve">C3 0.1µF </t>
    </r>
    <r>
      <rPr>
        <sz val="11"/>
        <rFont val="Noto Sans CJK SC"/>
        <family val="2"/>
      </rPr>
      <t xml:space="preserve">を近くに</t>
    </r>
  </si>
  <si>
    <t xml:space="preserve">D2</t>
  </si>
  <si>
    <t xml:space="preserve">GPIO28</t>
  </si>
  <si>
    <r>
      <rPr>
        <sz val="11"/>
        <rFont val="Arial"/>
        <family val="0"/>
        <charset val="1"/>
      </rPr>
      <t xml:space="preserve">ADP J1-1 BUSY</t>
    </r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pin1</t>
    </r>
    <r>
      <rPr>
        <sz val="11"/>
        <rFont val="Noto Sans CJK SC"/>
        <family val="2"/>
      </rPr>
      <t xml:space="preserve">）</t>
    </r>
  </si>
  <si>
    <r>
      <rPr>
        <sz val="11"/>
        <rFont val="Arial"/>
        <family val="0"/>
        <charset val="1"/>
      </rPr>
      <t xml:space="preserve">L=</t>
    </r>
    <r>
      <rPr>
        <sz val="11"/>
        <rFont val="Noto Sans CJK SC"/>
        <family val="2"/>
      </rPr>
      <t xml:space="preserve">コマンド受付可</t>
    </r>
  </si>
  <si>
    <t xml:space="preserve">D3</t>
  </si>
  <si>
    <t xml:space="preserve">GPIO29</t>
  </si>
  <si>
    <r>
      <rPr>
        <sz val="11"/>
        <rFont val="Arial"/>
        <family val="0"/>
        <charset val="1"/>
      </rPr>
      <t xml:space="preserve">ADP J1-10 RESET</t>
    </r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pin19</t>
    </r>
    <r>
      <rPr>
        <sz val="11"/>
        <rFont val="Noto Sans CJK SC"/>
        <family val="2"/>
      </rPr>
      <t xml:space="preserve">）</t>
    </r>
  </si>
  <si>
    <r>
      <rPr>
        <sz val="11"/>
        <rFont val="Arial"/>
        <family val="0"/>
        <charset val="1"/>
      </rPr>
      <t xml:space="preserve">L</t>
    </r>
    <r>
      <rPr>
        <sz val="11"/>
        <rFont val="Noto Sans CJK SC"/>
        <family val="2"/>
      </rPr>
      <t xml:space="preserve">有効・内部</t>
    </r>
    <r>
      <rPr>
        <sz val="11"/>
        <rFont val="Arial"/>
        <family val="0"/>
        <charset val="1"/>
      </rPr>
      <t xml:space="preserve">10kΩ</t>
    </r>
    <r>
      <rPr>
        <sz val="11"/>
        <rFont val="Noto Sans CJK SC"/>
        <family val="2"/>
      </rPr>
      <t xml:space="preserve">プルアップ</t>
    </r>
  </si>
  <si>
    <t xml:space="preserve">D8</t>
  </si>
  <si>
    <t xml:space="preserve">GPIO2</t>
  </si>
  <si>
    <t xml:space="preserve">SW1→GND</t>
  </si>
  <si>
    <r>
      <rPr>
        <sz val="11"/>
        <rFont val="Noto Sans CJK SC"/>
        <family val="2"/>
      </rPr>
      <t xml:space="preserve">設定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ペアリング</t>
    </r>
  </si>
  <si>
    <t xml:space="preserve">USB-C</t>
  </si>
  <si>
    <t xml:space="preserve">PC</t>
  </si>
  <si>
    <r>
      <rPr>
        <sz val="11"/>
        <rFont val="Arial"/>
        <family val="0"/>
        <charset val="1"/>
      </rPr>
      <t xml:space="preserve">TinyUSB HID</t>
    </r>
    <r>
      <rPr>
        <sz val="11"/>
        <rFont val="Noto Sans CJK SC"/>
        <family val="2"/>
      </rPr>
      <t xml:space="preserve">ゲームパッド</t>
    </r>
  </si>
  <si>
    <r>
      <rPr>
        <sz val="11"/>
        <rFont val="Arial"/>
        <family val="0"/>
        <charset val="1"/>
      </rPr>
      <t xml:space="preserve">ADP J2-3 RxD</t>
    </r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pin6</t>
    </r>
    <r>
      <rPr>
        <sz val="11"/>
        <rFont val="Noto Sans CJK SC"/>
        <family val="2"/>
      </rPr>
      <t xml:space="preserve">）</t>
    </r>
  </si>
  <si>
    <t xml:space="preserve">3V3 / GND</t>
  </si>
  <si>
    <t xml:space="preserve">ADP J1-9 VCC / J2-9 GND</t>
  </si>
  <si>
    <t xml:space="preserve">D2 / D3 / D8</t>
  </si>
  <si>
    <t xml:space="preserve">GPIO28/29/2</t>
  </si>
  <si>
    <t xml:space="preserve">BUSY / RESET / SW1</t>
  </si>
  <si>
    <t xml:space="preserve">送信側と同じ</t>
  </si>
  <si>
    <t xml:space="preserve">ADP J1-8 STATUS→R3 1kΩ→LED1→GND</t>
  </si>
  <si>
    <r>
      <rPr>
        <sz val="11"/>
        <rFont val="Arial"/>
        <family val="0"/>
        <charset val="1"/>
      </rPr>
      <t xml:space="preserve">ADP </t>
    </r>
    <r>
      <rPr>
        <sz val="11"/>
        <rFont val="Noto Sans CJK SC"/>
        <family val="2"/>
      </rPr>
      <t xml:space="preserve">その他のピン</t>
    </r>
  </si>
  <si>
    <r>
      <rPr>
        <sz val="11"/>
        <rFont val="Noto Sans CJK SC"/>
        <family val="2"/>
      </rPr>
      <t xml:space="preserve">未接続（</t>
    </r>
    <r>
      <rPr>
        <sz val="11"/>
        <rFont val="Arial"/>
        <family val="0"/>
        <charset val="1"/>
      </rPr>
      <t xml:space="preserve">IO8</t>
    </r>
    <r>
      <rPr>
        <sz val="11"/>
        <rFont val="Noto Sans CJK SC"/>
        <family val="2"/>
      </rPr>
      <t xml:space="preserve">〜</t>
    </r>
    <r>
      <rPr>
        <sz val="11"/>
        <rFont val="Arial"/>
        <family val="0"/>
        <charset val="1"/>
      </rPr>
      <t xml:space="preserve">IO10</t>
    </r>
    <r>
      <rPr>
        <sz val="11"/>
        <rFont val="Noto Sans CJK SC"/>
        <family val="2"/>
      </rPr>
      <t xml:space="preserve">はオープンでデータモード）</t>
    </r>
  </si>
  <si>
    <r>
      <rPr>
        <sz val="11"/>
        <rFont val="Arial"/>
        <family val="0"/>
        <charset val="1"/>
      </rPr>
      <t xml:space="preserve">Arduino-Pico</t>
    </r>
    <r>
      <rPr>
        <sz val="11"/>
        <rFont val="Noto Sans CJK SC"/>
        <family val="2"/>
      </rPr>
      <t xml:space="preserve">で</t>
    </r>
    <r>
      <rPr>
        <sz val="11"/>
        <rFont val="Arial"/>
        <family val="0"/>
        <charset val="1"/>
      </rPr>
      <t xml:space="preserve">CPU Speed=120MHz</t>
    </r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PIO-USB</t>
    </r>
    <r>
      <rPr>
        <sz val="11"/>
        <rFont val="Noto Sans CJK SC"/>
        <family val="2"/>
      </rPr>
      <t xml:space="preserve">の要件、送信側のみ必須）</t>
    </r>
  </si>
  <si>
    <r>
      <rPr>
        <i val="true"/>
        <sz val="9"/>
        <rFont val="Noto Sans CJK SC"/>
        <family val="2"/>
      </rPr>
      <t xml:space="preserve">根拠：</t>
    </r>
    <r>
      <rPr>
        <i val="true"/>
        <sz val="9"/>
        <rFont val="Arial"/>
        <family val="0"/>
        <charset val="1"/>
      </rPr>
      <t xml:space="preserve">IM920sL </t>
    </r>
    <r>
      <rPr>
        <i val="true"/>
        <sz val="9"/>
        <rFont val="Noto Sans CJK SC"/>
        <family val="2"/>
      </rPr>
      <t xml:space="preserve">取扱説明書 </t>
    </r>
    <r>
      <rPr>
        <i val="true"/>
        <sz val="9"/>
        <rFont val="Arial"/>
        <family val="0"/>
        <charset val="1"/>
      </rPr>
      <t xml:space="preserve">Rev.1.5 </t>
    </r>
    <r>
      <rPr>
        <i val="true"/>
        <sz val="9"/>
        <rFont val="Noto Sans CJK SC"/>
        <family val="2"/>
      </rPr>
      <t xml:space="preserve">表</t>
    </r>
    <r>
      <rPr>
        <i val="true"/>
        <sz val="9"/>
        <rFont val="Arial"/>
        <family val="0"/>
        <charset val="1"/>
      </rPr>
      <t xml:space="preserve">15</t>
    </r>
    <r>
      <rPr>
        <i val="true"/>
        <sz val="9"/>
        <rFont val="Noto Sans CJK SC"/>
        <family val="2"/>
      </rPr>
      <t xml:space="preserve">、</t>
    </r>
    <r>
      <rPr>
        <i val="true"/>
        <sz val="9"/>
        <rFont val="Arial"/>
        <family val="0"/>
        <charset val="1"/>
      </rPr>
      <t xml:space="preserve">IM920sL-ADP </t>
    </r>
    <r>
      <rPr>
        <i val="true"/>
        <sz val="9"/>
        <rFont val="Noto Sans CJK SC"/>
        <family val="2"/>
      </rPr>
      <t xml:space="preserve">製品資料 </t>
    </r>
    <r>
      <rPr>
        <i val="true"/>
        <sz val="9"/>
        <rFont val="Arial"/>
        <family val="0"/>
        <charset val="1"/>
      </rPr>
      <t xml:space="preserve">Rev.1.0 </t>
    </r>
    <r>
      <rPr>
        <i val="true"/>
        <sz val="9"/>
        <rFont val="Noto Sans CJK SC"/>
        <family val="2"/>
      </rPr>
      <t xml:space="preserve">回路図。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</si>
</sst>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-#,##0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  <font>
      <b val="true"/>
      <sz val="11"/>
      <name val="Noto Sans CJK SC"/>
      <family val="2"/>
    </font>
    <font>
      <b val="true"/>
      <sz val="11"/>
      <name val="Arial"/>
      <family val="0"/>
      <charset val="1"/>
    </font>
    <font>
      <sz val="11"/>
      <name val="Noto Sans CJK SC"/>
      <family val="2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Noto Sans CJK SC"/>
      <family val="2"/>
    </font>
    <font>
      <sz val="9"/>
      <name val="Arial"/>
      <family val="0"/>
      <charset val="1"/>
    </font>
    <font>
      <b val="true"/>
      <sz val="9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7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24"/>
    <col collapsed="false" customWidth="true" hidden="false" outlineLevel="0" max="10" min="10" style="0" width="44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.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6.85" hidden="false" customHeight="false" outlineLevel="0" collapsed="false">
      <c r="A5" s="4" t="s">
        <v>12</v>
      </c>
      <c r="B5" s="5" t="s">
        <v>13</v>
      </c>
      <c r="C5" s="5" t="s">
        <v>14</v>
      </c>
      <c r="D5" s="5" t="s">
        <v>15</v>
      </c>
      <c r="E5" s="4" t="s">
        <v>16</v>
      </c>
      <c r="F5" s="6" t="n">
        <v>1</v>
      </c>
      <c r="G5" s="7" t="n">
        <v>980</v>
      </c>
      <c r="H5" s="8" t="n">
        <f aca="false">F5*G5</f>
        <v>980</v>
      </c>
      <c r="I5" s="9" t="s">
        <v>17</v>
      </c>
      <c r="J5" s="10" t="s">
        <v>18</v>
      </c>
    </row>
    <row r="6" customFormat="false" ht="32.8" hidden="false" customHeight="false" outlineLevel="0" collapsed="false">
      <c r="A6" s="4" t="s">
        <v>12</v>
      </c>
      <c r="B6" s="5" t="s">
        <v>19</v>
      </c>
      <c r="C6" s="5" t="s">
        <v>20</v>
      </c>
      <c r="D6" s="5" t="s">
        <v>21</v>
      </c>
      <c r="E6" s="4" t="s">
        <v>16</v>
      </c>
      <c r="F6" s="6" t="n">
        <v>1</v>
      </c>
      <c r="G6" s="7" t="n">
        <v>4750</v>
      </c>
      <c r="H6" s="8" t="n">
        <f aca="false">F6*G6</f>
        <v>4750</v>
      </c>
      <c r="I6" s="9" t="s">
        <v>22</v>
      </c>
      <c r="J6" s="10" t="s">
        <v>23</v>
      </c>
    </row>
    <row r="7" customFormat="false" ht="32.8" hidden="false" customHeight="false" outlineLevel="0" collapsed="false">
      <c r="A7" s="4" t="s">
        <v>12</v>
      </c>
      <c r="B7" s="5" t="s">
        <v>24</v>
      </c>
      <c r="C7" s="5" t="s">
        <v>25</v>
      </c>
      <c r="D7" s="4" t="s">
        <v>26</v>
      </c>
      <c r="E7" s="4" t="s">
        <v>16</v>
      </c>
      <c r="F7" s="6" t="n">
        <v>1</v>
      </c>
      <c r="G7" s="7" t="n">
        <v>140</v>
      </c>
      <c r="H7" s="8" t="n">
        <f aca="false">F7*G7</f>
        <v>140</v>
      </c>
      <c r="I7" s="9" t="s">
        <v>17</v>
      </c>
      <c r="J7" s="9" t="s">
        <v>27</v>
      </c>
    </row>
    <row r="8" customFormat="false" ht="17.15" hidden="false" customHeight="false" outlineLevel="0" collapsed="false">
      <c r="A8" s="4" t="s">
        <v>12</v>
      </c>
      <c r="B8" s="4" t="s">
        <v>28</v>
      </c>
      <c r="C8" s="5" t="s">
        <v>29</v>
      </c>
      <c r="D8" s="4" t="s">
        <v>26</v>
      </c>
      <c r="E8" s="4" t="s">
        <v>16</v>
      </c>
      <c r="F8" s="6" t="n">
        <v>1</v>
      </c>
      <c r="G8" s="7" t="n">
        <v>20</v>
      </c>
      <c r="H8" s="8" t="n">
        <f aca="false">F8*G8</f>
        <v>20</v>
      </c>
      <c r="I8" s="9" t="s">
        <v>30</v>
      </c>
      <c r="J8" s="10" t="s">
        <v>31</v>
      </c>
    </row>
    <row r="9" customFormat="false" ht="17.15" hidden="false" customHeight="false" outlineLevel="0" collapsed="false">
      <c r="A9" s="4" t="s">
        <v>12</v>
      </c>
      <c r="B9" s="4" t="s">
        <v>32</v>
      </c>
      <c r="C9" s="5" t="s">
        <v>29</v>
      </c>
      <c r="D9" s="4" t="s">
        <v>26</v>
      </c>
      <c r="E9" s="4" t="s">
        <v>33</v>
      </c>
      <c r="F9" s="6" t="n">
        <v>2</v>
      </c>
      <c r="G9" s="7" t="n">
        <v>10</v>
      </c>
      <c r="H9" s="8" t="n">
        <f aca="false">F9*G9</f>
        <v>20</v>
      </c>
      <c r="I9" s="9" t="s">
        <v>30</v>
      </c>
      <c r="J9" s="10" t="s">
        <v>34</v>
      </c>
    </row>
    <row r="10" customFormat="false" ht="17.15" hidden="false" customHeight="false" outlineLevel="0" collapsed="false">
      <c r="A10" s="4" t="s">
        <v>12</v>
      </c>
      <c r="B10" s="4" t="s">
        <v>35</v>
      </c>
      <c r="C10" s="5" t="s">
        <v>29</v>
      </c>
      <c r="D10" s="4" t="s">
        <v>26</v>
      </c>
      <c r="E10" s="4" t="s">
        <v>16</v>
      </c>
      <c r="F10" s="6" t="n">
        <v>1</v>
      </c>
      <c r="G10" s="7" t="n">
        <v>150</v>
      </c>
      <c r="H10" s="8" t="n">
        <f aca="false">F10*G10</f>
        <v>150</v>
      </c>
      <c r="I10" s="9" t="s">
        <v>30</v>
      </c>
      <c r="J10" s="9"/>
    </row>
    <row r="11" customFormat="false" ht="17.15" hidden="false" customHeight="false" outlineLevel="0" collapsed="false">
      <c r="A11" s="4" t="s">
        <v>12</v>
      </c>
      <c r="B11" s="4" t="s">
        <v>36</v>
      </c>
      <c r="C11" s="5" t="s">
        <v>29</v>
      </c>
      <c r="D11" s="4" t="s">
        <v>26</v>
      </c>
      <c r="E11" s="4" t="s">
        <v>16</v>
      </c>
      <c r="F11" s="6" t="n">
        <v>1</v>
      </c>
      <c r="G11" s="7" t="n">
        <v>100</v>
      </c>
      <c r="H11" s="8" t="n">
        <f aca="false">F11*G11</f>
        <v>100</v>
      </c>
      <c r="I11" s="9" t="s">
        <v>30</v>
      </c>
      <c r="J11" s="10" t="s">
        <v>37</v>
      </c>
    </row>
    <row r="12" customFormat="false" ht="32.8" hidden="false" customHeight="false" outlineLevel="0" collapsed="false">
      <c r="A12" s="4" t="s">
        <v>12</v>
      </c>
      <c r="B12" s="4" t="s">
        <v>38</v>
      </c>
      <c r="C12" s="5" t="s">
        <v>29</v>
      </c>
      <c r="D12" s="5" t="s">
        <v>29</v>
      </c>
      <c r="E12" s="4" t="s">
        <v>33</v>
      </c>
      <c r="F12" s="6" t="n">
        <v>1</v>
      </c>
      <c r="G12" s="7" t="n">
        <v>0</v>
      </c>
      <c r="H12" s="8" t="n">
        <f aca="false">F12*G12</f>
        <v>0</v>
      </c>
      <c r="I12" s="9" t="s">
        <v>39</v>
      </c>
      <c r="J12" s="10" t="s">
        <v>40</v>
      </c>
    </row>
    <row r="13" customFormat="false" ht="32.8" hidden="false" customHeight="false" outlineLevel="0" collapsed="false">
      <c r="A13" s="4" t="s">
        <v>12</v>
      </c>
      <c r="B13" s="5" t="s">
        <v>41</v>
      </c>
      <c r="C13" s="5" t="s">
        <v>29</v>
      </c>
      <c r="D13" s="5" t="s">
        <v>29</v>
      </c>
      <c r="E13" s="4" t="s">
        <v>33</v>
      </c>
      <c r="F13" s="6" t="n">
        <v>1</v>
      </c>
      <c r="G13" s="7" t="n">
        <v>0</v>
      </c>
      <c r="H13" s="8" t="n">
        <f aca="false">F13*G13</f>
        <v>0</v>
      </c>
      <c r="I13" s="9" t="s">
        <v>39</v>
      </c>
      <c r="J13" s="9"/>
    </row>
    <row r="14" customFormat="false" ht="17.15" hidden="false" customHeight="false" outlineLevel="0" collapsed="false">
      <c r="A14" s="4" t="s">
        <v>42</v>
      </c>
      <c r="B14" s="5" t="s">
        <v>13</v>
      </c>
      <c r="C14" s="5" t="s">
        <v>14</v>
      </c>
      <c r="D14" s="5" t="s">
        <v>15</v>
      </c>
      <c r="E14" s="4" t="s">
        <v>16</v>
      </c>
      <c r="F14" s="6" t="n">
        <v>1</v>
      </c>
      <c r="G14" s="7" t="n">
        <v>980</v>
      </c>
      <c r="H14" s="8" t="n">
        <f aca="false">F14*G14</f>
        <v>980</v>
      </c>
      <c r="I14" s="9" t="s">
        <v>17</v>
      </c>
      <c r="J14" s="9" t="s">
        <v>43</v>
      </c>
    </row>
    <row r="15" customFormat="false" ht="32.8" hidden="false" customHeight="false" outlineLevel="0" collapsed="false">
      <c r="A15" s="4" t="s">
        <v>42</v>
      </c>
      <c r="B15" s="5" t="s">
        <v>19</v>
      </c>
      <c r="C15" s="5" t="s">
        <v>20</v>
      </c>
      <c r="D15" s="5" t="s">
        <v>21</v>
      </c>
      <c r="E15" s="4" t="s">
        <v>16</v>
      </c>
      <c r="F15" s="6" t="n">
        <v>1</v>
      </c>
      <c r="G15" s="7" t="n">
        <v>4750</v>
      </c>
      <c r="H15" s="8" t="n">
        <f aca="false">F15*G15</f>
        <v>4750</v>
      </c>
      <c r="I15" s="9" t="s">
        <v>22</v>
      </c>
      <c r="J15" s="9" t="s">
        <v>44</v>
      </c>
    </row>
    <row r="16" customFormat="false" ht="17.15" hidden="false" customHeight="false" outlineLevel="0" collapsed="false">
      <c r="A16" s="4" t="s">
        <v>42</v>
      </c>
      <c r="B16" s="4" t="s">
        <v>35</v>
      </c>
      <c r="C16" s="5" t="s">
        <v>29</v>
      </c>
      <c r="D16" s="4" t="s">
        <v>26</v>
      </c>
      <c r="E16" s="4" t="s">
        <v>16</v>
      </c>
      <c r="F16" s="6" t="n">
        <v>1</v>
      </c>
      <c r="G16" s="7" t="n">
        <v>150</v>
      </c>
      <c r="H16" s="8" t="n">
        <f aca="false">F16*G16</f>
        <v>150</v>
      </c>
      <c r="I16" s="9" t="s">
        <v>30</v>
      </c>
      <c r="J16" s="9"/>
    </row>
    <row r="17" customFormat="false" ht="17.15" hidden="false" customHeight="false" outlineLevel="0" collapsed="false">
      <c r="A17" s="4" t="s">
        <v>42</v>
      </c>
      <c r="B17" s="4" t="s">
        <v>36</v>
      </c>
      <c r="C17" s="5" t="s">
        <v>29</v>
      </c>
      <c r="D17" s="4" t="s">
        <v>26</v>
      </c>
      <c r="E17" s="4" t="s">
        <v>16</v>
      </c>
      <c r="F17" s="6" t="n">
        <v>1</v>
      </c>
      <c r="G17" s="7" t="n">
        <v>100</v>
      </c>
      <c r="H17" s="8" t="n">
        <f aca="false">F17*G17</f>
        <v>100</v>
      </c>
      <c r="I17" s="9" t="s">
        <v>30</v>
      </c>
      <c r="J17" s="9"/>
    </row>
    <row r="18" customFormat="false" ht="17.15" hidden="false" customHeight="false" outlineLevel="0" collapsed="false">
      <c r="A18" s="4" t="s">
        <v>42</v>
      </c>
      <c r="B18" s="5" t="s">
        <v>45</v>
      </c>
      <c r="C18" s="5" t="s">
        <v>29</v>
      </c>
      <c r="D18" s="5" t="s">
        <v>29</v>
      </c>
      <c r="E18" s="4" t="s">
        <v>33</v>
      </c>
      <c r="F18" s="6" t="n">
        <v>1</v>
      </c>
      <c r="G18" s="7" t="n">
        <v>0</v>
      </c>
      <c r="H18" s="8" t="n">
        <f aca="false">F18*G18</f>
        <v>0</v>
      </c>
      <c r="I18" s="9" t="s">
        <v>39</v>
      </c>
      <c r="J18" s="9"/>
    </row>
    <row r="19" customFormat="false" ht="26.85" hidden="false" customHeight="false" outlineLevel="0" collapsed="false">
      <c r="A19" s="4" t="s">
        <v>46</v>
      </c>
      <c r="B19" s="5" t="s">
        <v>47</v>
      </c>
      <c r="C19" s="5" t="s">
        <v>48</v>
      </c>
      <c r="D19" s="4" t="s">
        <v>26</v>
      </c>
      <c r="E19" s="4" t="s">
        <v>33</v>
      </c>
      <c r="F19" s="6" t="n">
        <v>0</v>
      </c>
      <c r="G19" s="7" t="n">
        <v>2500</v>
      </c>
      <c r="H19" s="8" t="n">
        <f aca="false">F19*G19</f>
        <v>0</v>
      </c>
      <c r="I19" s="9" t="s">
        <v>22</v>
      </c>
      <c r="J19" s="9" t="s">
        <v>49</v>
      </c>
    </row>
    <row r="20" customFormat="false" ht="32.8" hidden="false" customHeight="false" outlineLevel="0" collapsed="false">
      <c r="A20" s="4" t="s">
        <v>50</v>
      </c>
      <c r="B20" s="4" t="s">
        <v>51</v>
      </c>
      <c r="C20" s="5" t="s">
        <v>29</v>
      </c>
      <c r="D20" s="4" t="s">
        <v>26</v>
      </c>
      <c r="E20" s="4" t="s">
        <v>16</v>
      </c>
      <c r="F20" s="6" t="n">
        <v>2</v>
      </c>
      <c r="G20" s="7" t="n">
        <v>20</v>
      </c>
      <c r="H20" s="8" t="n">
        <f aca="false">F20*G20</f>
        <v>40</v>
      </c>
      <c r="I20" s="9" t="s">
        <v>30</v>
      </c>
      <c r="J20" s="10" t="s">
        <v>52</v>
      </c>
    </row>
    <row r="21" customFormat="false" ht="32.8" hidden="false" customHeight="false" outlineLevel="0" collapsed="false">
      <c r="A21" s="4" t="s">
        <v>50</v>
      </c>
      <c r="B21" s="4" t="s">
        <v>53</v>
      </c>
      <c r="C21" s="5" t="s">
        <v>29</v>
      </c>
      <c r="D21" s="4" t="s">
        <v>26</v>
      </c>
      <c r="E21" s="4" t="s">
        <v>16</v>
      </c>
      <c r="F21" s="6" t="n">
        <v>2</v>
      </c>
      <c r="G21" s="7" t="n">
        <v>10</v>
      </c>
      <c r="H21" s="8" t="n">
        <f aca="false">F21*G21</f>
        <v>20</v>
      </c>
      <c r="I21" s="9" t="s">
        <v>30</v>
      </c>
      <c r="J21" s="10" t="s">
        <v>54</v>
      </c>
    </row>
    <row r="22" customFormat="false" ht="17.15" hidden="false" customHeight="false" outlineLevel="0" collapsed="false">
      <c r="A22" s="4" t="s">
        <v>50</v>
      </c>
      <c r="B22" s="4" t="s">
        <v>55</v>
      </c>
      <c r="C22" s="5" t="s">
        <v>29</v>
      </c>
      <c r="D22" s="4" t="s">
        <v>26</v>
      </c>
      <c r="E22" s="4" t="s">
        <v>16</v>
      </c>
      <c r="F22" s="6" t="n">
        <v>2</v>
      </c>
      <c r="G22" s="7" t="n">
        <v>20</v>
      </c>
      <c r="H22" s="8" t="n">
        <f aca="false">F22*G22</f>
        <v>40</v>
      </c>
      <c r="I22" s="9" t="s">
        <v>30</v>
      </c>
      <c r="J22" s="9" t="s">
        <v>56</v>
      </c>
    </row>
    <row r="23" customFormat="false" ht="32.8" hidden="false" customHeight="false" outlineLevel="0" collapsed="false">
      <c r="A23" s="4" t="s">
        <v>50</v>
      </c>
      <c r="B23" s="5" t="s">
        <v>57</v>
      </c>
      <c r="C23" s="5" t="s">
        <v>58</v>
      </c>
      <c r="D23" s="4" t="s">
        <v>26</v>
      </c>
      <c r="E23" s="4" t="s">
        <v>16</v>
      </c>
      <c r="F23" s="6" t="n">
        <v>2</v>
      </c>
      <c r="G23" s="7" t="n">
        <v>1400</v>
      </c>
      <c r="H23" s="8" t="n">
        <f aca="false">F23*G23</f>
        <v>2800</v>
      </c>
      <c r="I23" s="9" t="s">
        <v>59</v>
      </c>
      <c r="J23" s="10" t="s">
        <v>60</v>
      </c>
    </row>
    <row r="24" customFormat="false" ht="17.15" hidden="false" customHeight="false" outlineLevel="0" collapsed="false">
      <c r="A24" s="4" t="s">
        <v>50</v>
      </c>
      <c r="B24" s="5" t="s">
        <v>61</v>
      </c>
      <c r="C24" s="5" t="s">
        <v>29</v>
      </c>
      <c r="D24" s="4" t="s">
        <v>26</v>
      </c>
      <c r="E24" s="4" t="s">
        <v>33</v>
      </c>
      <c r="F24" s="6" t="n">
        <v>2</v>
      </c>
      <c r="G24" s="7" t="n">
        <v>30</v>
      </c>
      <c r="H24" s="8" t="n">
        <f aca="false">F24*G24</f>
        <v>60</v>
      </c>
      <c r="I24" s="9" t="s">
        <v>30</v>
      </c>
      <c r="J24" s="10" t="s">
        <v>62</v>
      </c>
    </row>
    <row r="25" customFormat="false" ht="17.15" hidden="false" customHeight="false" outlineLevel="0" collapsed="false">
      <c r="A25" s="4" t="s">
        <v>46</v>
      </c>
      <c r="B25" s="4" t="s">
        <v>63</v>
      </c>
      <c r="C25" s="5" t="s">
        <v>29</v>
      </c>
      <c r="D25" s="5" t="s">
        <v>29</v>
      </c>
      <c r="E25" s="4" t="s">
        <v>33</v>
      </c>
      <c r="F25" s="6" t="n">
        <v>1</v>
      </c>
      <c r="G25" s="7" t="n">
        <v>0</v>
      </c>
      <c r="H25" s="8" t="n">
        <f aca="false">F25*G25</f>
        <v>0</v>
      </c>
      <c r="I25" s="9" t="s">
        <v>39</v>
      </c>
      <c r="J25" s="9" t="s">
        <v>64</v>
      </c>
    </row>
    <row r="26" customFormat="false" ht="32.8" hidden="false" customHeight="false" outlineLevel="0" collapsed="false">
      <c r="A26" s="4" t="s">
        <v>65</v>
      </c>
      <c r="B26" s="5" t="s">
        <v>66</v>
      </c>
      <c r="C26" s="5" t="s">
        <v>67</v>
      </c>
      <c r="D26" s="5" t="s">
        <v>68</v>
      </c>
      <c r="E26" s="4" t="s">
        <v>33</v>
      </c>
      <c r="F26" s="6" t="n">
        <v>0</v>
      </c>
      <c r="G26" s="7" t="n">
        <v>7600</v>
      </c>
      <c r="H26" s="8" t="n">
        <f aca="false">F26*G26</f>
        <v>0</v>
      </c>
      <c r="I26" s="9" t="s">
        <v>22</v>
      </c>
      <c r="J26" s="9" t="s">
        <v>69</v>
      </c>
    </row>
    <row r="28" customFormat="false" ht="15" hidden="false" customHeight="false" outlineLevel="0" collapsed="false">
      <c r="G28" s="11" t="s">
        <v>70</v>
      </c>
      <c r="H28" s="12" t="n">
        <f aca="false">SUMIFS(H5:H26,E5:E26,"必須")</f>
        <v>15020</v>
      </c>
    </row>
    <row r="29" customFormat="false" ht="15" hidden="false" customHeight="false" outlineLevel="0" collapsed="false">
      <c r="G29" s="11" t="s">
        <v>71</v>
      </c>
      <c r="H29" s="12" t="n">
        <f aca="false">SUMIFS(H5:H26,E5:E26,"任意")</f>
        <v>80</v>
      </c>
    </row>
    <row r="30" customFormat="false" ht="15" hidden="false" customHeight="false" outlineLevel="0" collapsed="false">
      <c r="G30" s="11" t="s">
        <v>72</v>
      </c>
      <c r="H30" s="12" t="n">
        <f aca="false">SUM(H5:H26)</f>
        <v>15100</v>
      </c>
    </row>
    <row r="31" customFormat="false" ht="17.15" hidden="false" customHeight="false" outlineLevel="0" collapsed="false">
      <c r="G31" s="11" t="s">
        <v>73</v>
      </c>
      <c r="H31" s="12" t="n">
        <f aca="false">MAX(0,3000-H30)</f>
        <v>0</v>
      </c>
    </row>
    <row r="33" customFormat="false" ht="15" hidden="false" customHeight="false" outlineLevel="0" collapsed="false">
      <c r="A33" s="13" t="s">
        <v>74</v>
      </c>
    </row>
    <row r="34" customFormat="false" ht="15" hidden="false" customHeight="false" outlineLevel="0" collapsed="false">
      <c r="A34" s="14" t="s">
        <v>75</v>
      </c>
    </row>
    <row r="35" customFormat="false" ht="15" hidden="false" customHeight="false" outlineLevel="0" collapsed="false">
      <c r="A35" s="14" t="s">
        <v>76</v>
      </c>
    </row>
    <row r="36" customFormat="false" ht="15" hidden="false" customHeight="false" outlineLevel="0" collapsed="false">
      <c r="A36" s="14" t="s">
        <v>77</v>
      </c>
    </row>
    <row r="37" customFormat="false" ht="15" hidden="false" customHeight="false" outlineLevel="0" collapsed="false">
      <c r="A37" s="14" t="s">
        <v>78</v>
      </c>
    </row>
    <row r="38" customFormat="false" ht="15" hidden="false" customHeight="false" outlineLevel="0" collapsed="false">
      <c r="A38" s="14" t="s">
        <v>79</v>
      </c>
    </row>
  </sheetData>
  <autoFilter ref="A4:J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26"/>
    <col collapsed="false" customWidth="true" hidden="false" outlineLevel="0" max="5" min="5" style="0" width="50"/>
  </cols>
  <sheetData>
    <row r="1" customFormat="false" ht="21.6" hidden="false" customHeight="false" outlineLevel="0" collapsed="false">
      <c r="A1" s="1" t="s">
        <v>80</v>
      </c>
    </row>
    <row r="3" customFormat="false" ht="17.15" hidden="false" customHeight="false" outlineLevel="0" collapsed="false">
      <c r="A3" s="15" t="s">
        <v>81</v>
      </c>
      <c r="B3" s="16" t="s">
        <v>82</v>
      </c>
      <c r="C3" s="16" t="s">
        <v>83</v>
      </c>
      <c r="D3" s="15" t="s">
        <v>84</v>
      </c>
      <c r="E3" s="15" t="s">
        <v>11</v>
      </c>
    </row>
    <row r="4" customFormat="false" ht="17.15" hidden="false" customHeight="false" outlineLevel="0" collapsed="false">
      <c r="A4" s="17" t="s">
        <v>12</v>
      </c>
      <c r="B4" s="18" t="s">
        <v>85</v>
      </c>
      <c r="C4" s="18" t="s">
        <v>86</v>
      </c>
      <c r="D4" s="18" t="s">
        <v>87</v>
      </c>
      <c r="E4" s="18" t="s">
        <v>88</v>
      </c>
    </row>
    <row r="5" customFormat="false" ht="17.15" hidden="false" customHeight="false" outlineLevel="0" collapsed="false">
      <c r="A5" s="17" t="s">
        <v>12</v>
      </c>
      <c r="B5" s="18" t="s">
        <v>89</v>
      </c>
      <c r="C5" s="18" t="s">
        <v>90</v>
      </c>
      <c r="D5" s="18" t="s">
        <v>91</v>
      </c>
      <c r="E5" s="18" t="s">
        <v>92</v>
      </c>
    </row>
    <row r="6" customFormat="false" ht="17.15" hidden="false" customHeight="false" outlineLevel="0" collapsed="false">
      <c r="A6" s="17" t="s">
        <v>12</v>
      </c>
      <c r="B6" s="18" t="s">
        <v>93</v>
      </c>
      <c r="C6" s="18" t="s">
        <v>29</v>
      </c>
      <c r="D6" s="18" t="s">
        <v>94</v>
      </c>
      <c r="E6" s="18" t="s">
        <v>95</v>
      </c>
    </row>
    <row r="7" customFormat="false" ht="15" hidden="false" customHeight="false" outlineLevel="0" collapsed="false">
      <c r="A7" s="17" t="s">
        <v>12</v>
      </c>
      <c r="B7" s="18" t="s">
        <v>96</v>
      </c>
      <c r="C7" s="18" t="s">
        <v>29</v>
      </c>
      <c r="D7" s="18" t="s">
        <v>97</v>
      </c>
      <c r="E7" s="17"/>
    </row>
    <row r="8" customFormat="false" ht="17.15" hidden="false" customHeight="false" outlineLevel="0" collapsed="false">
      <c r="A8" s="17" t="s">
        <v>12</v>
      </c>
      <c r="B8" s="18" t="s">
        <v>98</v>
      </c>
      <c r="C8" s="18" t="s">
        <v>99</v>
      </c>
      <c r="D8" s="18" t="s">
        <v>100</v>
      </c>
      <c r="E8" s="18" t="s">
        <v>101</v>
      </c>
    </row>
    <row r="9" customFormat="false" ht="17.15" hidden="false" customHeight="false" outlineLevel="0" collapsed="false">
      <c r="A9" s="17" t="s">
        <v>12</v>
      </c>
      <c r="B9" s="18" t="s">
        <v>102</v>
      </c>
      <c r="C9" s="18" t="s">
        <v>103</v>
      </c>
      <c r="D9" s="18" t="s">
        <v>104</v>
      </c>
      <c r="E9" s="18" t="s">
        <v>101</v>
      </c>
    </row>
    <row r="10" customFormat="false" ht="17.15" hidden="false" customHeight="false" outlineLevel="0" collapsed="false">
      <c r="A10" s="17" t="s">
        <v>12</v>
      </c>
      <c r="B10" s="18" t="s">
        <v>105</v>
      </c>
      <c r="C10" s="18" t="s">
        <v>29</v>
      </c>
      <c r="D10" s="18" t="s">
        <v>106</v>
      </c>
      <c r="E10" s="18" t="s">
        <v>107</v>
      </c>
    </row>
    <row r="11" customFormat="false" ht="17.15" hidden="false" customHeight="false" outlineLevel="0" collapsed="false">
      <c r="A11" s="17" t="s">
        <v>12</v>
      </c>
      <c r="B11" s="18" t="s">
        <v>108</v>
      </c>
      <c r="C11" s="18" t="s">
        <v>109</v>
      </c>
      <c r="D11" s="18" t="s">
        <v>110</v>
      </c>
      <c r="E11" s="18" t="s">
        <v>111</v>
      </c>
    </row>
    <row r="12" customFormat="false" ht="17.15" hidden="false" customHeight="false" outlineLevel="0" collapsed="false">
      <c r="A12" s="17" t="s">
        <v>12</v>
      </c>
      <c r="B12" s="18" t="s">
        <v>112</v>
      </c>
      <c r="C12" s="18" t="s">
        <v>113</v>
      </c>
      <c r="D12" s="18" t="s">
        <v>114</v>
      </c>
      <c r="E12" s="18" t="s">
        <v>115</v>
      </c>
    </row>
    <row r="13" customFormat="false" ht="17.15" hidden="false" customHeight="false" outlineLevel="0" collapsed="false">
      <c r="A13" s="17" t="s">
        <v>12</v>
      </c>
      <c r="B13" s="18" t="s">
        <v>116</v>
      </c>
      <c r="C13" s="18" t="s">
        <v>117</v>
      </c>
      <c r="D13" s="18" t="s">
        <v>118</v>
      </c>
      <c r="E13" s="17" t="s">
        <v>119</v>
      </c>
    </row>
    <row r="14" customFormat="false" ht="17.15" hidden="false" customHeight="false" outlineLevel="0" collapsed="false">
      <c r="A14" s="17" t="s">
        <v>42</v>
      </c>
      <c r="B14" s="18" t="s">
        <v>120</v>
      </c>
      <c r="C14" s="18" t="s">
        <v>29</v>
      </c>
      <c r="D14" s="18" t="s">
        <v>121</v>
      </c>
      <c r="E14" s="18" t="s">
        <v>122</v>
      </c>
    </row>
    <row r="15" customFormat="false" ht="17.15" hidden="false" customHeight="false" outlineLevel="0" collapsed="false">
      <c r="A15" s="17" t="s">
        <v>42</v>
      </c>
      <c r="B15" s="18" t="s">
        <v>98</v>
      </c>
      <c r="C15" s="18" t="s">
        <v>99</v>
      </c>
      <c r="D15" s="18" t="s">
        <v>123</v>
      </c>
      <c r="E15" s="18" t="s">
        <v>101</v>
      </c>
    </row>
    <row r="16" customFormat="false" ht="17.15" hidden="false" customHeight="false" outlineLevel="0" collapsed="false">
      <c r="A16" s="17" t="s">
        <v>42</v>
      </c>
      <c r="B16" s="18" t="s">
        <v>102</v>
      </c>
      <c r="C16" s="18" t="s">
        <v>103</v>
      </c>
      <c r="D16" s="18" t="s">
        <v>104</v>
      </c>
      <c r="E16" s="18" t="s">
        <v>101</v>
      </c>
    </row>
    <row r="17" customFormat="false" ht="15" hidden="false" customHeight="false" outlineLevel="0" collapsed="false">
      <c r="A17" s="17" t="s">
        <v>42</v>
      </c>
      <c r="B17" s="18" t="s">
        <v>124</v>
      </c>
      <c r="C17" s="18" t="s">
        <v>29</v>
      </c>
      <c r="D17" s="18" t="s">
        <v>125</v>
      </c>
      <c r="E17" s="17"/>
    </row>
    <row r="18" customFormat="false" ht="15" hidden="false" customHeight="false" outlineLevel="0" collapsed="false">
      <c r="A18" s="17" t="s">
        <v>42</v>
      </c>
      <c r="B18" s="18" t="s">
        <v>126</v>
      </c>
      <c r="C18" s="18" t="s">
        <v>127</v>
      </c>
      <c r="D18" s="18" t="s">
        <v>128</v>
      </c>
      <c r="E18" s="17" t="s">
        <v>129</v>
      </c>
    </row>
    <row r="19" customFormat="false" ht="15" hidden="false" customHeight="false" outlineLevel="0" collapsed="false">
      <c r="A19" s="17" t="s">
        <v>50</v>
      </c>
      <c r="B19" s="18" t="s">
        <v>29</v>
      </c>
      <c r="C19" s="18" t="s">
        <v>29</v>
      </c>
      <c r="D19" s="18" t="s">
        <v>130</v>
      </c>
      <c r="E19" s="17" t="s">
        <v>33</v>
      </c>
    </row>
    <row r="20" customFormat="false" ht="17.15" hidden="false" customHeight="false" outlineLevel="0" collapsed="false">
      <c r="A20" s="17" t="s">
        <v>50</v>
      </c>
      <c r="B20" s="18" t="s">
        <v>29</v>
      </c>
      <c r="C20" s="18" t="s">
        <v>29</v>
      </c>
      <c r="D20" s="18" t="s">
        <v>131</v>
      </c>
      <c r="E20" s="17" t="s">
        <v>132</v>
      </c>
    </row>
    <row r="21" customFormat="false" ht="17.15" hidden="false" customHeight="false" outlineLevel="0" collapsed="false">
      <c r="A21" s="17" t="s">
        <v>50</v>
      </c>
      <c r="B21" s="18" t="s">
        <v>29</v>
      </c>
      <c r="C21" s="18" t="s">
        <v>29</v>
      </c>
      <c r="D21" s="18" t="s">
        <v>29</v>
      </c>
      <c r="E21" s="18" t="s">
        <v>133</v>
      </c>
    </row>
    <row r="23" customFormat="false" ht="15" hidden="false" customHeight="false" outlineLevel="0" collapsed="false">
      <c r="A23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2026-09-17T13:18:41Z</dcterms:created>
  <dc:creator>openpyxl</dc:creator>
  <dc:description/>
  <dc:language>en-US</dc:language>
  <cp:lastModifiedBy/>
  <dcterms:modified xsi:type="dcterms:W3CDTF">2026-09-17T13:18:41Z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